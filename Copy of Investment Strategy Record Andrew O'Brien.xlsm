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VS2015Projects\HelloWorld\"/>
    </mc:Choice>
  </mc:AlternateContent>
  <bookViews>
    <workbookView xWindow="0" yWindow="0" windowWidth="28800" windowHeight="14235" tabRatio="500"/>
  </bookViews>
  <sheets>
    <sheet name="Calculation" sheetId="1" r:id="rId1"/>
    <sheet name="Net Performance" sheetId="2" r:id="rId2"/>
  </sheets>
  <functionGroups builtInGroupCount="18"/>
  <definedNames>
    <definedName name="_xlnm._FilterDatabase" localSheetId="0" hidden="1">Calculation!$B$27:$D$27</definedName>
    <definedName name="AnnualisedReturn">'Net Performance'!$G$4</definedName>
    <definedName name="DateStart">Calculation!$A$27</definedName>
    <definedName name="InflowOutflow">Calculation!$P$27</definedName>
    <definedName name="NetProfit">'Net Performance'!$F$10</definedName>
    <definedName name="RecommendedPayment">'Net Performance'!$F$13</definedName>
    <definedName name="ReturnDrawdown">'Net Performance'!$F$7</definedName>
    <definedName name="SinceInception">'Net Performance'!$F$4</definedName>
    <definedName name="TotalValue">Calculation!$O$27</definedName>
  </definedNames>
  <calcPr calcId="152511"/>
</workbook>
</file>

<file path=xl/calcChain.xml><?xml version="1.0" encoding="utf-8"?>
<calcChain xmlns="http://schemas.openxmlformats.org/spreadsheetml/2006/main">
  <c r="M31" i="1" l="1"/>
  <c r="M30" i="1"/>
  <c r="M29" i="1"/>
  <c r="C28" i="1"/>
  <c r="N28" i="1" l="1"/>
  <c r="A29" i="1"/>
  <c r="A30" i="1" s="1"/>
  <c r="A31" i="1" s="1"/>
  <c r="E3" i="1"/>
  <c r="C29" i="1"/>
  <c r="F3" i="1" l="1"/>
  <c r="F2" i="1"/>
  <c r="G2" i="1" s="1"/>
  <c r="B30" i="1"/>
  <c r="B31" i="1"/>
  <c r="B29" i="1"/>
  <c r="B28" i="1"/>
  <c r="C30" i="1"/>
  <c r="O28" i="1" l="1"/>
  <c r="G3" i="1"/>
  <c r="A5" i="2"/>
  <c r="A4" i="2"/>
  <c r="J29" i="1"/>
  <c r="J30" i="1" s="1"/>
  <c r="J31" i="1" s="1"/>
  <c r="H29" i="1"/>
  <c r="H30" i="1" s="1"/>
  <c r="H31" i="1" s="1"/>
  <c r="G29" i="1"/>
  <c r="G30" i="1" s="1"/>
  <c r="G31" i="1" s="1"/>
  <c r="E29" i="1"/>
  <c r="E30" i="1" s="1"/>
  <c r="E31" i="1" s="1"/>
  <c r="D29" i="1"/>
  <c r="D30" i="1" s="1"/>
  <c r="D31" i="1" s="1"/>
  <c r="C31" i="1"/>
  <c r="R28" i="1" l="1"/>
  <c r="Q28" i="1"/>
  <c r="I29" i="1"/>
  <c r="I30" i="1" s="1"/>
  <c r="I31" i="1" s="1"/>
  <c r="A6" i="2"/>
  <c r="F29" i="1"/>
  <c r="P30" i="1" l="1"/>
  <c r="P29" i="1"/>
  <c r="F30" i="1"/>
  <c r="O30" i="1" s="1"/>
  <c r="N29" i="1"/>
  <c r="O29" i="1"/>
  <c r="P31" i="1"/>
  <c r="R29" i="1"/>
  <c r="Q29" i="1"/>
  <c r="R30" i="1"/>
  <c r="Q30" i="1"/>
  <c r="C4" i="2" l="1"/>
  <c r="B4" i="2" s="1"/>
  <c r="C5" i="2"/>
  <c r="N30" i="1"/>
  <c r="F31" i="1"/>
  <c r="B5" i="2" l="1"/>
  <c r="D3" i="2"/>
  <c r="N31" i="1"/>
  <c r="O31" i="1"/>
  <c r="A3" i="2"/>
  <c r="R31" i="1"/>
  <c r="Q31" i="1"/>
  <c r="C6" i="2" l="1"/>
  <c r="C3" i="2"/>
  <c r="B3" i="2" s="1"/>
  <c r="B6" i="2" l="1"/>
  <c r="F10" i="2"/>
  <c r="F13" i="2" s="1"/>
  <c r="F4" i="2"/>
  <c r="G4" i="2" l="1"/>
  <c r="F7" i="2"/>
</calcChain>
</file>

<file path=xl/comments1.xml><?xml version="1.0" encoding="utf-8"?>
<comments xmlns="http://schemas.openxmlformats.org/spreadsheetml/2006/main">
  <authors>
    <author>Bryn</author>
  </authors>
  <commentList>
    <comment ref="H27" authorId="0" shapeId="0">
      <text>
        <r>
          <rPr>
            <b/>
            <sz val="9"/>
            <color indexed="81"/>
            <rFont val="Tahoma"/>
            <family val="2"/>
          </rPr>
          <t>Bryn:</t>
        </r>
        <r>
          <rPr>
            <sz val="9"/>
            <color indexed="81"/>
            <rFont val="Tahoma"/>
            <family val="2"/>
          </rPr>
          <t xml:space="preserve">
CommSec Purchases (the other columns incorporate brokerage). This should be negative.</t>
        </r>
      </text>
    </comment>
  </commentList>
</comments>
</file>

<file path=xl/sharedStrings.xml><?xml version="1.0" encoding="utf-8"?>
<sst xmlns="http://schemas.openxmlformats.org/spreadsheetml/2006/main" count="42" uniqueCount="38">
  <si>
    <t>FPMarkets</t>
  </si>
  <si>
    <t>Shares</t>
  </si>
  <si>
    <t>Ubank Rate</t>
  </si>
  <si>
    <t>Settlement Funds</t>
  </si>
  <si>
    <t>Date</t>
  </si>
  <si>
    <t>Interest Received</t>
  </si>
  <si>
    <t>Unit Price</t>
  </si>
  <si>
    <t>Since Inception</t>
  </si>
  <si>
    <t>Return/Drawdown Ratio</t>
  </si>
  <si>
    <t>Trade Date</t>
  </si>
  <si>
    <t>Account</t>
  </si>
  <si>
    <t>Price</t>
  </si>
  <si>
    <t>Buy/Sell</t>
  </si>
  <si>
    <t>Brokerage</t>
  </si>
  <si>
    <t>Units</t>
  </si>
  <si>
    <t>Trade Value</t>
  </si>
  <si>
    <t>CommSec</t>
  </si>
  <si>
    <t>Buy</t>
  </si>
  <si>
    <t>Sell</t>
  </si>
  <si>
    <t>Ubank</t>
  </si>
  <si>
    <t>Funds Added</t>
  </si>
  <si>
    <t>Pending Dividend</t>
  </si>
  <si>
    <t>Dividend Paid</t>
  </si>
  <si>
    <t>Franking Credit Entitlement</t>
  </si>
  <si>
    <t>Total Value</t>
  </si>
  <si>
    <t>Relative Value</t>
  </si>
  <si>
    <t>CommBank</t>
  </si>
  <si>
    <t>CommBank Rate</t>
  </si>
  <si>
    <t>Company</t>
  </si>
  <si>
    <t>Annualised Return</t>
  </si>
  <si>
    <t>Key Performance Indicators</t>
  </si>
  <si>
    <t>Drawdown Amounts</t>
  </si>
  <si>
    <t>Recommended Annual Payment (20% profit)</t>
  </si>
  <si>
    <t>Inflow/Outflow</t>
  </si>
  <si>
    <t>Unit Price (Modified Dietz)</t>
  </si>
  <si>
    <t>Time Weighted Return Rate</t>
  </si>
  <si>
    <t>NAB</t>
  </si>
  <si>
    <t>Net Profit (after adjustments, brokerage, before tax)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</si>
</sst>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%"/>
  </numFmts>
  <fonts count="1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0"/>
      <name val="Verdana"/>
      <family val="2"/>
    </font>
    <font>
      <sz val="12"/>
      <color theme="1"/>
      <name val="Verdana"/>
      <family val="2"/>
    </font>
    <font>
      <sz val="12"/>
      <color theme="6" tint="-0.249977111117893"/>
      <name val="Verdana"/>
      <family val="2"/>
    </font>
    <font>
      <sz val="12"/>
      <color rgb="FFFF0000"/>
      <name val="Verdana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0" fontId="0" fillId="0" borderId="0" xfId="0" applyFill="1"/>
    <xf numFmtId="164" fontId="0" fillId="0" borderId="0" xfId="0" applyNumberFormat="1"/>
    <xf numFmtId="165" fontId="0" fillId="0" borderId="0" xfId="17" applyNumberFormat="1" applyFont="1" applyAlignment="1">
      <alignment horizontal="left" indent="2"/>
    </xf>
    <xf numFmtId="0" fontId="4" fillId="0" borderId="0" xfId="0" applyFont="1"/>
    <xf numFmtId="0" fontId="0" fillId="0" borderId="0" xfId="0" applyFont="1"/>
    <xf numFmtId="10" fontId="0" fillId="0" borderId="0" xfId="17" applyNumberFormat="1" applyFont="1"/>
    <xf numFmtId="14" fontId="0" fillId="0" borderId="0" xfId="0" applyNumberFormat="1" applyFont="1"/>
    <xf numFmtId="14" fontId="0" fillId="0" borderId="0" xfId="0" applyNumberFormat="1" applyFill="1"/>
    <xf numFmtId="14" fontId="7" fillId="0" borderId="0" xfId="0" applyNumberFormat="1" applyFont="1"/>
    <xf numFmtId="0" fontId="7" fillId="0" borderId="0" xfId="0" applyFont="1"/>
    <xf numFmtId="2" fontId="0" fillId="0" borderId="0" xfId="0" applyNumberFormat="1"/>
    <xf numFmtId="0" fontId="9" fillId="2" borderId="1" xfId="0" applyFont="1" applyFill="1" applyBorder="1"/>
    <xf numFmtId="0" fontId="9" fillId="4" borderId="2" xfId="0" applyFont="1" applyFill="1" applyBorder="1"/>
    <xf numFmtId="0" fontId="9" fillId="2" borderId="2" xfId="0" applyFont="1" applyFill="1" applyBorder="1"/>
    <xf numFmtId="0" fontId="0" fillId="3" borderId="0" xfId="0" applyFill="1" applyBorder="1"/>
    <xf numFmtId="0" fontId="0" fillId="0" borderId="0" xfId="0" applyFill="1" applyBorder="1"/>
    <xf numFmtId="0" fontId="0" fillId="0" borderId="2" xfId="0" applyFill="1" applyBorder="1"/>
    <xf numFmtId="0" fontId="9" fillId="2" borderId="3" xfId="0" applyFont="1" applyFill="1" applyBorder="1"/>
    <xf numFmtId="0" fontId="9" fillId="4" borderId="0" xfId="0" applyFont="1" applyFill="1" applyBorder="1"/>
    <xf numFmtId="0" fontId="9" fillId="2" borderId="0" xfId="0" applyFont="1" applyFill="1" applyBorder="1"/>
    <xf numFmtId="44" fontId="9" fillId="4" borderId="0" xfId="0" applyNumberFormat="1" applyFont="1" applyFill="1" applyBorder="1" applyAlignment="1">
      <alignment horizontal="center"/>
    </xf>
    <xf numFmtId="14" fontId="0" fillId="0" borderId="0" xfId="0" applyNumberFormat="1" applyFill="1" applyBorder="1"/>
    <xf numFmtId="44" fontId="10" fillId="4" borderId="2" xfId="19" applyFont="1" applyFill="1" applyBorder="1" applyAlignment="1"/>
    <xf numFmtId="44" fontId="11" fillId="4" borderId="2" xfId="0" applyNumberFormat="1" applyFont="1" applyFill="1" applyBorder="1" applyAlignment="1"/>
    <xf numFmtId="0" fontId="0" fillId="4" borderId="2" xfId="0" applyFill="1" applyBorder="1"/>
    <xf numFmtId="0" fontId="0" fillId="4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2" fontId="0" fillId="0" borderId="0" xfId="0" applyNumberFormat="1" applyFont="1"/>
    <xf numFmtId="2" fontId="10" fillId="4" borderId="2" xfId="18" applyNumberFormat="1" applyFont="1" applyFill="1" applyBorder="1" applyAlignment="1"/>
    <xf numFmtId="10" fontId="10" fillId="4" borderId="0" xfId="17" applyNumberFormat="1" applyFont="1" applyFill="1" applyBorder="1" applyAlignment="1"/>
    <xf numFmtId="10" fontId="10" fillId="4" borderId="2" xfId="17" applyNumberFormat="1" applyFont="1" applyFill="1" applyBorder="1" applyAlignment="1"/>
    <xf numFmtId="0" fontId="8" fillId="3" borderId="4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</cellXfs>
  <cellStyles count="20">
    <cellStyle name="Comma" xfId="18" builtinId="3"/>
    <cellStyle name="Currency" xfId="19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  <cellStyle name="Percent" xfId="17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Unit Price -O'Brien</a:t>
            </a:r>
            <a:r>
              <a:rPr lang="en-US" baseline="0"/>
              <a:t> </a:t>
            </a:r>
            <a:r>
              <a:rPr lang="en-US"/>
              <a:t>Fund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 Performance'!$C$2</c:f>
              <c:strCache>
                <c:ptCount val="1"/>
                <c:pt idx="0">
                  <c:v>Unit Price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'Net Performance'!$A$3:$A$320</c:f>
              <c:numCache>
                <c:formatCode>m/d/yyyy</c:formatCode>
                <c:ptCount val="318"/>
                <c:pt idx="0">
                  <c:v>42087</c:v>
                </c:pt>
                <c:pt idx="1">
                  <c:v>42088</c:v>
                </c:pt>
                <c:pt idx="2">
                  <c:v>42089</c:v>
                </c:pt>
                <c:pt idx="3">
                  <c:v>42090</c:v>
                </c:pt>
              </c:numCache>
            </c:numRef>
          </c:cat>
          <c:val>
            <c:numRef>
              <c:f>'Net Performance'!$C$3:$C$320</c:f>
              <c:numCache>
                <c:formatCode>0.0000</c:formatCode>
                <c:ptCount val="318"/>
                <c:pt idx="0">
                  <c:v>0.99214068399999999</c:v>
                </c:pt>
                <c:pt idx="1">
                  <c:v>1.0039653045817443</c:v>
                </c:pt>
                <c:pt idx="2">
                  <c:v>0.99660231653195674</c:v>
                </c:pt>
                <c:pt idx="3">
                  <c:v>0.99864069680666367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2105600"/>
        <c:axId val="-566872816"/>
      </c:lineChart>
      <c:dateAx>
        <c:axId val="-562105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6872816"/>
        <c:crosses val="autoZero"/>
        <c:auto val="1"/>
        <c:lblOffset val="100"/>
        <c:baseTimeUnit val="days"/>
      </c:dateAx>
      <c:valAx>
        <c:axId val="-566872816"/>
        <c:scaling>
          <c:orientation val="minMax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210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11</xdr:row>
          <xdr:rowOff>161925</xdr:rowOff>
        </xdr:from>
        <xdr:to>
          <xdr:col>9</xdr:col>
          <xdr:colOff>1019175</xdr:colOff>
          <xdr:row>15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</a:rPr>
                <a:t>Extend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16</xdr:row>
          <xdr:rowOff>123825</xdr:rowOff>
        </xdr:from>
        <xdr:to>
          <xdr:col>9</xdr:col>
          <xdr:colOff>1009650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175953</xdr:colOff>
      <xdr:row>14</xdr:row>
      <xdr:rowOff>108858</xdr:rowOff>
    </xdr:from>
    <xdr:to>
      <xdr:col>16</xdr:col>
      <xdr:colOff>509155</xdr:colOff>
      <xdr:row>48</xdr:row>
      <xdr:rowOff>108857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41"/>
  <sheetViews>
    <sheetView tabSelected="1" zoomScale="85" zoomScaleNormal="85" workbookViewId="0">
      <pane ySplit="27" topLeftCell="A28" activePane="bottomLeft" state="frozen"/>
      <selection pane="bottomLeft" activeCell="A32" sqref="A32"/>
    </sheetView>
  </sheetViews>
  <sheetFormatPr defaultColWidth="11.125" defaultRowHeight="15.75" x14ac:dyDescent="0.25"/>
  <cols>
    <col min="2" max="2" width="14.625" bestFit="1" customWidth="1"/>
    <col min="3" max="3" width="11.125" style="12"/>
    <col min="4" max="4" width="14.5" customWidth="1"/>
    <col min="7" max="7" width="11.875" bestFit="1" customWidth="1"/>
    <col min="10" max="10" width="15.5" bestFit="1" customWidth="1"/>
    <col min="11" max="11" width="12.5" bestFit="1" customWidth="1"/>
    <col min="12" max="12" width="24.375" bestFit="1" customWidth="1"/>
  </cols>
  <sheetData>
    <row r="1" spans="1:8" x14ac:dyDescent="0.25">
      <c r="A1" s="5" t="s">
        <v>9</v>
      </c>
      <c r="B1" s="5" t="s">
        <v>10</v>
      </c>
      <c r="C1" s="5" t="s">
        <v>12</v>
      </c>
      <c r="D1" s="5" t="s">
        <v>11</v>
      </c>
      <c r="E1" s="5" t="s">
        <v>14</v>
      </c>
      <c r="F1" s="5" t="s">
        <v>13</v>
      </c>
      <c r="G1" s="5" t="s">
        <v>15</v>
      </c>
      <c r="H1" s="5" t="s">
        <v>28</v>
      </c>
    </row>
    <row r="2" spans="1:8" x14ac:dyDescent="0.25">
      <c r="A2" s="8">
        <v>42060</v>
      </c>
      <c r="B2" s="11" t="s">
        <v>16</v>
      </c>
      <c r="C2" s="6" t="s">
        <v>17</v>
      </c>
      <c r="D2" s="6">
        <v>38.950000000000003</v>
      </c>
      <c r="E2" s="6">
        <v>1140</v>
      </c>
      <c r="F2" s="36">
        <f t="shared" ref="F2:F3" si="0">(D2*E2)*0.0012</f>
        <v>53.283599999999993</v>
      </c>
      <c r="G2" s="12">
        <f t="shared" ref="G2:G3" si="1">D2*E2+F2</f>
        <v>44456.283600000002</v>
      </c>
      <c r="H2" s="6" t="s">
        <v>36</v>
      </c>
    </row>
    <row r="3" spans="1:8" x14ac:dyDescent="0.25">
      <c r="A3" s="8">
        <v>42060</v>
      </c>
      <c r="B3" s="11" t="s">
        <v>0</v>
      </c>
      <c r="C3" s="6" t="s">
        <v>18</v>
      </c>
      <c r="D3" s="6">
        <v>38.950000000000003</v>
      </c>
      <c r="E3" s="6">
        <f>E2/2</f>
        <v>570</v>
      </c>
      <c r="F3" s="36">
        <f t="shared" si="0"/>
        <v>26.641799999999996</v>
      </c>
      <c r="G3" s="12">
        <f t="shared" si="1"/>
        <v>22228.141800000001</v>
      </c>
      <c r="H3" s="6" t="s">
        <v>36</v>
      </c>
    </row>
    <row r="4" spans="1:8" x14ac:dyDescent="0.25">
      <c r="A4" s="8"/>
      <c r="B4" s="11"/>
      <c r="C4" s="6"/>
      <c r="D4" s="6"/>
      <c r="E4" s="6"/>
      <c r="F4" s="36"/>
      <c r="G4" s="12"/>
      <c r="H4" s="6"/>
    </row>
    <row r="5" spans="1:8" x14ac:dyDescent="0.25">
      <c r="A5" s="8"/>
      <c r="B5" s="11"/>
      <c r="C5" s="6"/>
      <c r="D5" s="6"/>
      <c r="E5" s="6"/>
      <c r="F5" s="36"/>
      <c r="G5" s="12"/>
      <c r="H5" s="6"/>
    </row>
    <row r="6" spans="1:8" x14ac:dyDescent="0.25">
      <c r="A6" s="8"/>
      <c r="B6" s="11"/>
      <c r="C6" s="6"/>
      <c r="D6" s="6"/>
      <c r="E6" s="6"/>
      <c r="F6" s="36"/>
      <c r="G6" s="12"/>
      <c r="H6" s="6"/>
    </row>
    <row r="7" spans="1:8" x14ac:dyDescent="0.25">
      <c r="A7" s="8"/>
      <c r="B7" s="11"/>
      <c r="C7" s="6"/>
      <c r="D7" s="6"/>
      <c r="E7" s="6"/>
      <c r="G7" s="12"/>
      <c r="H7" s="6"/>
    </row>
    <row r="8" spans="1:8" x14ac:dyDescent="0.25">
      <c r="A8" s="8"/>
      <c r="B8" s="11"/>
      <c r="C8" s="6"/>
      <c r="D8" s="6"/>
      <c r="E8" s="6"/>
      <c r="F8" s="36"/>
      <c r="G8" s="12"/>
      <c r="H8" s="6"/>
    </row>
    <row r="9" spans="1:8" x14ac:dyDescent="0.25">
      <c r="A9" s="8"/>
      <c r="B9" s="11"/>
      <c r="C9" s="6"/>
      <c r="D9" s="6"/>
      <c r="E9" s="6"/>
      <c r="G9" s="12"/>
      <c r="H9" s="6"/>
    </row>
    <row r="10" spans="1:8" x14ac:dyDescent="0.25">
      <c r="A10" s="8"/>
      <c r="B10" s="11"/>
      <c r="C10" s="6"/>
      <c r="D10" s="6"/>
      <c r="E10" s="6"/>
      <c r="F10" s="6"/>
      <c r="H10" s="6"/>
    </row>
    <row r="11" spans="1:8" x14ac:dyDescent="0.25">
      <c r="A11" s="8"/>
      <c r="B11" s="11"/>
      <c r="C11" s="6"/>
      <c r="D11" s="6"/>
      <c r="E11" s="6"/>
      <c r="H11" s="6"/>
    </row>
    <row r="12" spans="1:8" x14ac:dyDescent="0.25">
      <c r="A12" s="10"/>
      <c r="B12" s="11"/>
      <c r="C12" s="6"/>
      <c r="D12" s="11"/>
      <c r="E12" s="11"/>
    </row>
    <row r="13" spans="1:8" x14ac:dyDescent="0.25">
      <c r="A13" s="10"/>
      <c r="B13" s="11"/>
      <c r="C13" s="6"/>
      <c r="D13" s="11"/>
      <c r="E13" s="11"/>
      <c r="F13" s="11"/>
    </row>
    <row r="14" spans="1:8" x14ac:dyDescent="0.25">
      <c r="A14" s="10"/>
      <c r="B14" s="11"/>
      <c r="C14" s="11"/>
      <c r="D14" s="11"/>
      <c r="E14" s="11"/>
    </row>
    <row r="15" spans="1:8" x14ac:dyDescent="0.25">
      <c r="A15" s="10"/>
      <c r="B15" s="11"/>
      <c r="C15" s="11"/>
      <c r="D15" s="11"/>
      <c r="E15" s="11"/>
      <c r="F15" s="11"/>
    </row>
    <row r="16" spans="1:8" x14ac:dyDescent="0.25">
      <c r="A16" s="10"/>
      <c r="B16" s="11"/>
      <c r="C16" s="6"/>
      <c r="D16" s="11"/>
      <c r="E16" s="11"/>
      <c r="H16" s="11"/>
    </row>
    <row r="17" spans="1:18" x14ac:dyDescent="0.25">
      <c r="A17" s="10"/>
      <c r="B17" s="11"/>
      <c r="C17" s="6"/>
      <c r="D17" s="11"/>
      <c r="E17" s="11"/>
      <c r="F17" s="11"/>
      <c r="H17" s="11"/>
    </row>
    <row r="18" spans="1:18" x14ac:dyDescent="0.25">
      <c r="A18" s="10"/>
      <c r="B18" s="11"/>
      <c r="C18" s="11"/>
      <c r="D18" s="11"/>
      <c r="E18" s="11"/>
      <c r="F18" s="11"/>
      <c r="H18" s="11"/>
    </row>
    <row r="19" spans="1:18" x14ac:dyDescent="0.25">
      <c r="A19" s="10"/>
      <c r="B19" s="11"/>
      <c r="C19" s="11"/>
      <c r="D19" s="11"/>
      <c r="E19" s="11"/>
      <c r="H19" s="11"/>
    </row>
    <row r="20" spans="1:18" x14ac:dyDescent="0.25">
      <c r="A20" s="10"/>
      <c r="B20" s="11"/>
      <c r="C20" s="11"/>
      <c r="D20" s="11"/>
      <c r="E20" s="11"/>
      <c r="F20" s="11"/>
    </row>
    <row r="21" spans="1:18" hidden="1" x14ac:dyDescent="0.25">
      <c r="A21" s="10"/>
      <c r="B21" s="11"/>
      <c r="C21" s="11"/>
      <c r="G21" s="12"/>
    </row>
    <row r="22" spans="1:18" hidden="1" x14ac:dyDescent="0.25">
      <c r="A22" s="8"/>
      <c r="B22" s="6"/>
      <c r="C22" s="6"/>
      <c r="D22" s="6"/>
      <c r="G22" s="12"/>
    </row>
    <row r="23" spans="1:18" hidden="1" x14ac:dyDescent="0.25">
      <c r="A23" s="8"/>
      <c r="B23" s="6"/>
      <c r="C23" s="6"/>
      <c r="D23" s="6"/>
      <c r="G23" s="12"/>
    </row>
    <row r="24" spans="1:18" hidden="1" x14ac:dyDescent="0.25">
      <c r="A24" s="8"/>
      <c r="B24" s="6"/>
      <c r="C24" s="6"/>
      <c r="D24" s="6"/>
      <c r="G24" s="12"/>
      <c r="I24" s="12"/>
    </row>
    <row r="25" spans="1:18" hidden="1" x14ac:dyDescent="0.25">
      <c r="A25" s="8"/>
      <c r="B25" s="6"/>
      <c r="C25" s="6"/>
      <c r="D25" s="6"/>
      <c r="G25" s="12"/>
    </row>
    <row r="27" spans="1:18" x14ac:dyDescent="0.25">
      <c r="A27" s="1" t="s">
        <v>4</v>
      </c>
      <c r="B27" t="s">
        <v>0</v>
      </c>
      <c r="C27" s="1" t="s">
        <v>1</v>
      </c>
      <c r="D27" t="s">
        <v>3</v>
      </c>
      <c r="E27" t="s">
        <v>19</v>
      </c>
      <c r="F27" t="s">
        <v>26</v>
      </c>
      <c r="G27" t="s">
        <v>20</v>
      </c>
      <c r="H27" t="s">
        <v>13</v>
      </c>
      <c r="I27" t="s">
        <v>5</v>
      </c>
      <c r="J27" t="s">
        <v>21</v>
      </c>
      <c r="K27" t="s">
        <v>22</v>
      </c>
      <c r="L27" t="s">
        <v>23</v>
      </c>
      <c r="M27" t="s">
        <v>2</v>
      </c>
      <c r="N27" t="s">
        <v>27</v>
      </c>
      <c r="O27" t="s">
        <v>24</v>
      </c>
      <c r="P27" t="s">
        <v>33</v>
      </c>
      <c r="Q27" t="s">
        <v>34</v>
      </c>
      <c r="R27" t="s">
        <v>35</v>
      </c>
    </row>
    <row r="28" spans="1:18" x14ac:dyDescent="0.25">
      <c r="A28" s="1">
        <v>42087</v>
      </c>
      <c r="B28">
        <f>5000+$E$3*($D$3-getHistoricalYahooFigure($H$2&amp;".AX",A28))-$F$3</f>
        <v>5286.4022000000032</v>
      </c>
      <c r="C28" s="12">
        <f>getHistoricalYahooFigure($H$2&amp;".AX",A28)*$E$2</f>
        <v>43776.911999999997</v>
      </c>
      <c r="D28">
        <v>0</v>
      </c>
      <c r="E28">
        <v>0</v>
      </c>
      <c r="F28" s="12">
        <v>543.72</v>
      </c>
      <c r="G28">
        <v>0</v>
      </c>
      <c r="H28" s="12">
        <v>0</v>
      </c>
      <c r="I28">
        <v>0</v>
      </c>
      <c r="J28">
        <v>0</v>
      </c>
      <c r="K28">
        <v>0</v>
      </c>
      <c r="L28">
        <v>0</v>
      </c>
      <c r="M28">
        <v>3.7</v>
      </c>
      <c r="N28">
        <f>IF(F28&gt;249999,2.5,IF(F28&gt;49999,1.55,IF(F28&gt;4999,1.1,0)))</f>
        <v>0</v>
      </c>
      <c r="O28">
        <f>SUM(B28:F28)</f>
        <v>49607.034200000002</v>
      </c>
      <c r="P28">
        <v>0</v>
      </c>
      <c r="Q28">
        <f>$O$28/50000</f>
        <v>0.99214068399999999</v>
      </c>
      <c r="R28">
        <f>$O$28/50000</f>
        <v>0.99214068399999999</v>
      </c>
    </row>
    <row r="29" spans="1:18" x14ac:dyDescent="0.25">
      <c r="A29" s="1">
        <f>A28+1</f>
        <v>42088</v>
      </c>
      <c r="B29">
        <f t="shared" ref="B29:B31" si="2">5000+$E$3*($D$3-getHistoricalYahooFigure($H$2&amp;".AX",A29))-$F$3</f>
        <v>5089.6952000000019</v>
      </c>
      <c r="C29" s="12">
        <f>getHistoricalYahooFigure($H$2&amp;".AX",A29)*$E$2</f>
        <v>44170.326000000001</v>
      </c>
      <c r="D29">
        <f>D28</f>
        <v>0</v>
      </c>
      <c r="E29">
        <f>E28</f>
        <v>0</v>
      </c>
      <c r="F29" s="12">
        <f>F28</f>
        <v>543.72</v>
      </c>
      <c r="G29">
        <f>G28</f>
        <v>0</v>
      </c>
      <c r="H29" s="12">
        <f>H28</f>
        <v>0</v>
      </c>
      <c r="I29">
        <f>I28+E29*(1+(M29/100)/365)-E29</f>
        <v>0</v>
      </c>
      <c r="J29" s="12">
        <f>J28</f>
        <v>0</v>
      </c>
      <c r="K29">
        <v>0</v>
      </c>
      <c r="L29">
        <v>0</v>
      </c>
      <c r="M29">
        <f>M28</f>
        <v>3.7</v>
      </c>
      <c r="N29">
        <f>IF(F29&gt;249999,2.5,IF(F29&gt;49999,1.55,IF(F29&gt;4999,1.1,0)))</f>
        <v>0</v>
      </c>
      <c r="O29">
        <f>SUM(B29:F29)</f>
        <v>49803.741200000004</v>
      </c>
      <c r="P29">
        <f>IF(G29&lt;&gt;G28,(G29-G28),0)+IF(H29&lt;&gt;H28,(H28-H29),0)+IF(I29&lt;&gt;I28,(I28-I29),0)+IF(J29&lt;&gt;J28,(J28-J29),0)+IF(K29&lt;&gt;K28,(K28-K29),0)+IF(L29&lt;&gt;L28,(L28-L29),0)</f>
        <v>0</v>
      </c>
      <c r="Q29">
        <f>1+CalculateUnitPrice(Q29)</f>
        <v>1.0039653045817443</v>
      </c>
      <c r="R29">
        <f>CalculateCFReturns(R29)</f>
        <v>1.0039653045817443</v>
      </c>
    </row>
    <row r="30" spans="1:18" x14ac:dyDescent="0.25">
      <c r="A30" s="1">
        <f t="shared" ref="A30:A31" si="3">A29+1</f>
        <v>42089</v>
      </c>
      <c r="B30">
        <f t="shared" si="2"/>
        <v>5454.9512000000013</v>
      </c>
      <c r="C30" s="12">
        <f>getHistoricalYahooFigure($H$2&amp;".AX",A30)*$E$2</f>
        <v>43439.813999999998</v>
      </c>
      <c r="D30">
        <f t="shared" ref="D30:D31" si="4">D29</f>
        <v>0</v>
      </c>
      <c r="E30">
        <f t="shared" ref="E30:E31" si="5">E29</f>
        <v>0</v>
      </c>
      <c r="F30" s="12">
        <f t="shared" ref="F30:F31" si="6">F29</f>
        <v>543.72</v>
      </c>
      <c r="G30">
        <f t="shared" ref="G30:G31" si="7">G29</f>
        <v>0</v>
      </c>
      <c r="H30" s="12">
        <f t="shared" ref="H30:H31" si="8">H29</f>
        <v>0</v>
      </c>
      <c r="I30">
        <f>I29+E30*(1+(M30/100)*3/365)-E30</f>
        <v>0</v>
      </c>
      <c r="J30" s="12">
        <f t="shared" ref="J30:J31" si="9">J29</f>
        <v>0</v>
      </c>
      <c r="K30">
        <v>0</v>
      </c>
      <c r="L30">
        <v>0</v>
      </c>
      <c r="M30">
        <f>M29</f>
        <v>3.7</v>
      </c>
      <c r="N30">
        <f t="shared" ref="N30:N31" si="10">IF(F30&gt;249999,2.5,IF(F30&gt;49999,1.55,IF(F30&gt;4999,1.1,0)))</f>
        <v>0</v>
      </c>
      <c r="O30">
        <f t="shared" ref="O30:O31" si="11">SUM(B30:F30)</f>
        <v>49438.485200000003</v>
      </c>
      <c r="P30">
        <f t="shared" ref="P30:P31" si="12">IF(G30&lt;&gt;G29,(G30-G29),0)+IF(H30&lt;&gt;H29,(H29-H30),0)+IF(I30&lt;&gt;I29,(I29-I30),0)+IF(J30&lt;&gt;J29,(J29-J30),0)+IF(K30&lt;&gt;K29,(K29-K30),0)+IF(L30&lt;&gt;L29,(L29-L30),0)</f>
        <v>0</v>
      </c>
      <c r="Q30">
        <f>1+CalculateUnitPrice(Q30)</f>
        <v>0.99660231653195674</v>
      </c>
      <c r="R30">
        <f>CalculateCFReturns(R30)</f>
        <v>0.99660231653195674</v>
      </c>
    </row>
    <row r="31" spans="1:18" x14ac:dyDescent="0.25">
      <c r="A31" s="1">
        <f t="shared" si="3"/>
        <v>42090</v>
      </c>
      <c r="B31">
        <f t="shared" si="2"/>
        <v>5353.8332000000019</v>
      </c>
      <c r="C31" s="12">
        <f>getHistoricalYahooFigure($H$2&amp;".AX",A31)*$E$2</f>
        <v>43642.049999999996</v>
      </c>
      <c r="D31">
        <f t="shared" si="4"/>
        <v>0</v>
      </c>
      <c r="E31">
        <f t="shared" si="5"/>
        <v>0</v>
      </c>
      <c r="F31" s="12">
        <f t="shared" si="6"/>
        <v>543.72</v>
      </c>
      <c r="G31">
        <f t="shared" si="7"/>
        <v>0</v>
      </c>
      <c r="H31" s="12">
        <f t="shared" si="8"/>
        <v>0</v>
      </c>
      <c r="I31">
        <f>I30+E31*(1+(M31/100)/365)-E31</f>
        <v>0</v>
      </c>
      <c r="J31" s="12">
        <f t="shared" si="9"/>
        <v>0</v>
      </c>
      <c r="K31">
        <v>0</v>
      </c>
      <c r="L31">
        <v>0</v>
      </c>
      <c r="M31">
        <f>M30</f>
        <v>3.7</v>
      </c>
      <c r="N31">
        <f t="shared" si="10"/>
        <v>0</v>
      </c>
      <c r="O31">
        <f t="shared" si="11"/>
        <v>49539.603199999998</v>
      </c>
      <c r="P31">
        <f t="shared" si="12"/>
        <v>0</v>
      </c>
      <c r="Q31">
        <f>1+CalculateUnitPrice(Q31)</f>
        <v>0.99864069680666367</v>
      </c>
      <c r="R31">
        <f>CalculateCFReturns(R31)</f>
        <v>0.99864069680666367</v>
      </c>
    </row>
    <row r="32" spans="1:18" x14ac:dyDescent="0.25">
      <c r="A32" s="1"/>
      <c r="F32" s="12"/>
      <c r="H32" s="12"/>
      <c r="J32" s="12"/>
    </row>
    <row r="33" spans="1:10" x14ac:dyDescent="0.25">
      <c r="A33" s="1"/>
      <c r="F33" s="12"/>
      <c r="H33" s="12"/>
      <c r="J33" s="12"/>
    </row>
    <row r="34" spans="1:10" x14ac:dyDescent="0.25">
      <c r="A34" s="1"/>
      <c r="F34" s="12"/>
      <c r="H34" s="12"/>
      <c r="J34" s="12"/>
    </row>
    <row r="35" spans="1:10" x14ac:dyDescent="0.25">
      <c r="A35" s="1"/>
      <c r="F35" s="12"/>
      <c r="H35" s="12"/>
      <c r="J35" s="12"/>
    </row>
    <row r="36" spans="1:10" x14ac:dyDescent="0.25">
      <c r="A36" s="1"/>
      <c r="F36" s="12"/>
      <c r="H36" s="12"/>
      <c r="J36" s="12"/>
    </row>
    <row r="37" spans="1:10" x14ac:dyDescent="0.25">
      <c r="A37" s="1"/>
      <c r="F37" s="12"/>
      <c r="H37" s="12"/>
      <c r="J37" s="12"/>
    </row>
    <row r="38" spans="1:10" x14ac:dyDescent="0.25">
      <c r="A38" s="1"/>
      <c r="F38" s="12"/>
      <c r="H38" s="12"/>
      <c r="J38" s="12"/>
    </row>
    <row r="39" spans="1:10" x14ac:dyDescent="0.25">
      <c r="A39" s="1"/>
      <c r="F39" s="12"/>
      <c r="H39" s="12"/>
      <c r="J39" s="12"/>
    </row>
    <row r="40" spans="1:10" x14ac:dyDescent="0.25">
      <c r="A40" s="1"/>
      <c r="F40" s="12"/>
      <c r="H40" s="12"/>
      <c r="J40" s="12"/>
    </row>
    <row r="41" spans="1:10" x14ac:dyDescent="0.25">
      <c r="A41" s="1"/>
      <c r="F41" s="12"/>
      <c r="H41" s="12"/>
      <c r="J41" s="12"/>
    </row>
    <row r="42" spans="1:10" x14ac:dyDescent="0.25">
      <c r="A42" s="1"/>
      <c r="F42" s="12"/>
      <c r="H42" s="12"/>
      <c r="J42" s="12"/>
    </row>
    <row r="43" spans="1:10" x14ac:dyDescent="0.25">
      <c r="A43" s="1"/>
      <c r="F43" s="12"/>
      <c r="H43" s="12"/>
      <c r="J43" s="12"/>
    </row>
    <row r="44" spans="1:10" x14ac:dyDescent="0.25">
      <c r="A44" s="1"/>
      <c r="B44" s="12"/>
      <c r="F44" s="12"/>
      <c r="H44" s="12"/>
      <c r="J44" s="12"/>
    </row>
    <row r="45" spans="1:10" x14ac:dyDescent="0.25">
      <c r="A45" s="1"/>
      <c r="B45" s="12"/>
      <c r="F45" s="12"/>
      <c r="H45" s="12"/>
      <c r="J45" s="12"/>
    </row>
    <row r="46" spans="1:10" x14ac:dyDescent="0.25">
      <c r="A46" s="1"/>
      <c r="B46" s="12"/>
      <c r="F46" s="12"/>
      <c r="H46" s="12"/>
      <c r="J46" s="12"/>
    </row>
    <row r="47" spans="1:10" x14ac:dyDescent="0.25">
      <c r="A47" s="1"/>
      <c r="B47" s="12"/>
      <c r="F47" s="12"/>
      <c r="H47" s="12"/>
      <c r="J47" s="12"/>
    </row>
    <row r="48" spans="1:10" x14ac:dyDescent="0.25">
      <c r="A48" s="1"/>
      <c r="B48" s="12"/>
      <c r="F48" s="12"/>
      <c r="H48" s="12"/>
      <c r="J48" s="12"/>
    </row>
    <row r="49" spans="1:10" x14ac:dyDescent="0.25">
      <c r="A49" s="1"/>
      <c r="B49" s="12"/>
      <c r="F49" s="12"/>
      <c r="H49" s="12"/>
      <c r="J49" s="12"/>
    </row>
    <row r="50" spans="1:10" x14ac:dyDescent="0.25">
      <c r="A50" s="1"/>
      <c r="B50" s="12"/>
      <c r="F50" s="12"/>
      <c r="H50" s="12"/>
      <c r="J50" s="12"/>
    </row>
    <row r="51" spans="1:10" x14ac:dyDescent="0.25">
      <c r="A51" s="1"/>
      <c r="B51" s="12"/>
      <c r="F51" s="12"/>
      <c r="H51" s="12"/>
      <c r="J51" s="12"/>
    </row>
    <row r="52" spans="1:10" x14ac:dyDescent="0.25">
      <c r="A52" s="1"/>
      <c r="B52" s="12"/>
      <c r="F52" s="12"/>
      <c r="H52" s="12"/>
      <c r="J52" s="12"/>
    </row>
    <row r="53" spans="1:10" x14ac:dyDescent="0.25">
      <c r="A53" s="1"/>
      <c r="B53" s="12"/>
      <c r="F53" s="12"/>
      <c r="H53" s="12"/>
      <c r="J53" s="12"/>
    </row>
    <row r="54" spans="1:10" x14ac:dyDescent="0.25">
      <c r="A54" s="1"/>
      <c r="B54" s="12"/>
      <c r="F54" s="12"/>
      <c r="H54" s="12"/>
      <c r="J54" s="12"/>
    </row>
    <row r="55" spans="1:10" x14ac:dyDescent="0.25">
      <c r="A55" s="1"/>
      <c r="B55" s="12"/>
      <c r="F55" s="12"/>
      <c r="H55" s="12"/>
      <c r="J55" s="12"/>
    </row>
    <row r="56" spans="1:10" x14ac:dyDescent="0.25">
      <c r="A56" s="1"/>
      <c r="B56" s="12"/>
      <c r="F56" s="12"/>
      <c r="H56" s="12"/>
      <c r="J56" s="12"/>
    </row>
    <row r="57" spans="1:10" x14ac:dyDescent="0.25">
      <c r="A57" s="1"/>
      <c r="B57" s="12"/>
      <c r="F57" s="12"/>
      <c r="H57" s="12"/>
      <c r="J57" s="12"/>
    </row>
    <row r="58" spans="1:10" x14ac:dyDescent="0.25">
      <c r="A58" s="1"/>
      <c r="B58" s="12"/>
      <c r="F58" s="12"/>
      <c r="H58" s="12"/>
      <c r="J58" s="12"/>
    </row>
    <row r="59" spans="1:10" x14ac:dyDescent="0.25">
      <c r="A59" s="1"/>
      <c r="B59" s="12"/>
      <c r="F59" s="12"/>
      <c r="H59" s="12"/>
      <c r="J59" s="12"/>
    </row>
    <row r="60" spans="1:10" x14ac:dyDescent="0.25">
      <c r="A60" s="1"/>
      <c r="B60" s="12"/>
      <c r="F60" s="12"/>
      <c r="H60" s="12"/>
      <c r="J60" s="12"/>
    </row>
    <row r="61" spans="1:10" x14ac:dyDescent="0.25">
      <c r="A61" s="1"/>
      <c r="B61" s="12"/>
      <c r="F61" s="12"/>
      <c r="H61" s="12"/>
      <c r="J61" s="12"/>
    </row>
    <row r="62" spans="1:10" x14ac:dyDescent="0.25">
      <c r="A62" s="1"/>
      <c r="B62" s="12"/>
      <c r="F62" s="12"/>
      <c r="H62" s="12"/>
      <c r="J62" s="12"/>
    </row>
    <row r="63" spans="1:10" x14ac:dyDescent="0.25">
      <c r="A63" s="1"/>
      <c r="B63" s="12"/>
      <c r="F63" s="12"/>
      <c r="H63" s="12"/>
      <c r="J63" s="12"/>
    </row>
    <row r="64" spans="1:10" x14ac:dyDescent="0.25">
      <c r="A64" s="1"/>
      <c r="B64" s="12"/>
      <c r="F64" s="12"/>
      <c r="H64" s="12"/>
      <c r="J64" s="12"/>
    </row>
    <row r="65" spans="1:10" x14ac:dyDescent="0.25">
      <c r="A65" s="1"/>
      <c r="B65" s="12"/>
      <c r="F65" s="12"/>
      <c r="H65" s="12"/>
      <c r="J65" s="12"/>
    </row>
    <row r="66" spans="1:10" x14ac:dyDescent="0.25">
      <c r="A66" s="1"/>
      <c r="B66" s="12"/>
      <c r="F66" s="12"/>
      <c r="H66" s="12"/>
      <c r="J66" s="12"/>
    </row>
    <row r="67" spans="1:10" x14ac:dyDescent="0.25">
      <c r="A67" s="1"/>
      <c r="B67" s="12"/>
      <c r="E67" s="12"/>
      <c r="F67" s="12"/>
      <c r="H67" s="12"/>
      <c r="J67" s="12"/>
    </row>
    <row r="68" spans="1:10" x14ac:dyDescent="0.25">
      <c r="A68" s="1"/>
      <c r="B68" s="12"/>
      <c r="F68" s="12"/>
      <c r="H68" s="12"/>
      <c r="J68" s="12"/>
    </row>
    <row r="69" spans="1:10" x14ac:dyDescent="0.25">
      <c r="A69" s="1"/>
      <c r="B69" s="12"/>
      <c r="F69" s="12"/>
      <c r="H69" s="12"/>
      <c r="J69" s="12"/>
    </row>
    <row r="70" spans="1:10" x14ac:dyDescent="0.25">
      <c r="A70" s="1"/>
      <c r="B70" s="12"/>
      <c r="F70" s="12"/>
      <c r="H70" s="12"/>
      <c r="J70" s="12"/>
    </row>
    <row r="71" spans="1:10" x14ac:dyDescent="0.25">
      <c r="A71" s="1"/>
      <c r="B71" s="12"/>
      <c r="F71" s="12"/>
      <c r="H71" s="12"/>
      <c r="J71" s="12"/>
    </row>
    <row r="72" spans="1:10" x14ac:dyDescent="0.25">
      <c r="A72" s="1"/>
      <c r="B72" s="12"/>
      <c r="F72" s="12"/>
      <c r="H72" s="12"/>
      <c r="J72" s="12"/>
    </row>
    <row r="73" spans="1:10" x14ac:dyDescent="0.25">
      <c r="A73" s="1"/>
      <c r="B73" s="12"/>
      <c r="F73" s="12"/>
      <c r="H73" s="12"/>
      <c r="J73" s="12"/>
    </row>
    <row r="74" spans="1:10" x14ac:dyDescent="0.25">
      <c r="A74" s="1"/>
      <c r="B74" s="12"/>
      <c r="F74" s="12"/>
      <c r="H74" s="12"/>
      <c r="J74" s="12"/>
    </row>
    <row r="75" spans="1:10" x14ac:dyDescent="0.25">
      <c r="A75" s="1"/>
      <c r="B75" s="12"/>
      <c r="F75" s="12"/>
      <c r="H75" s="12"/>
      <c r="J75" s="12"/>
    </row>
    <row r="76" spans="1:10" x14ac:dyDescent="0.25">
      <c r="A76" s="1"/>
      <c r="B76" s="12"/>
      <c r="F76" s="12"/>
      <c r="H76" s="12"/>
      <c r="J76" s="12"/>
    </row>
    <row r="77" spans="1:10" x14ac:dyDescent="0.25">
      <c r="A77" s="1"/>
      <c r="B77" s="12"/>
      <c r="F77" s="12"/>
      <c r="H77" s="12"/>
      <c r="J77" s="12"/>
    </row>
    <row r="78" spans="1:10" x14ac:dyDescent="0.25">
      <c r="A78" s="1"/>
      <c r="B78" s="12"/>
      <c r="F78" s="12"/>
      <c r="H78" s="12"/>
      <c r="J78" s="12"/>
    </row>
    <row r="79" spans="1:10" x14ac:dyDescent="0.25">
      <c r="A79" s="1"/>
      <c r="B79" s="12"/>
      <c r="F79" s="12"/>
      <c r="H79" s="12"/>
      <c r="J79" s="12"/>
    </row>
    <row r="80" spans="1:10" x14ac:dyDescent="0.25">
      <c r="A80" s="1"/>
      <c r="B80" s="12"/>
      <c r="F80" s="12"/>
      <c r="H80" s="12"/>
      <c r="J80" s="12"/>
    </row>
    <row r="81" spans="1:11" x14ac:dyDescent="0.25">
      <c r="A81" s="1"/>
      <c r="B81" s="12"/>
      <c r="F81" s="12"/>
      <c r="H81" s="12"/>
      <c r="J81" s="12"/>
    </row>
    <row r="82" spans="1:11" x14ac:dyDescent="0.25">
      <c r="A82" s="1"/>
      <c r="B82" s="12"/>
      <c r="F82" s="12"/>
      <c r="H82" s="12"/>
      <c r="J82" s="12"/>
    </row>
    <row r="83" spans="1:11" x14ac:dyDescent="0.25">
      <c r="A83" s="1"/>
      <c r="B83" s="12"/>
      <c r="F83" s="12"/>
      <c r="H83" s="12"/>
      <c r="J83" s="12"/>
    </row>
    <row r="84" spans="1:11" x14ac:dyDescent="0.25">
      <c r="A84" s="1"/>
      <c r="B84" s="12"/>
      <c r="F84" s="12"/>
      <c r="H84" s="12"/>
      <c r="J84" s="12"/>
    </row>
    <row r="85" spans="1:11" x14ac:dyDescent="0.25">
      <c r="A85" s="1"/>
      <c r="B85" s="12"/>
      <c r="F85" s="12"/>
      <c r="H85" s="12"/>
      <c r="J85" s="12"/>
    </row>
    <row r="86" spans="1:11" x14ac:dyDescent="0.25">
      <c r="A86" s="1"/>
      <c r="B86" s="12"/>
      <c r="F86" s="12"/>
      <c r="H86" s="12"/>
      <c r="J86" s="12"/>
    </row>
    <row r="87" spans="1:11" x14ac:dyDescent="0.25">
      <c r="A87" s="1"/>
      <c r="B87" s="12"/>
      <c r="F87" s="12"/>
      <c r="H87" s="12"/>
      <c r="J87" s="12"/>
    </row>
    <row r="88" spans="1:11" x14ac:dyDescent="0.25">
      <c r="A88" s="1"/>
      <c r="B88" s="12"/>
      <c r="F88" s="12"/>
      <c r="H88" s="12"/>
      <c r="J88" s="12"/>
    </row>
    <row r="89" spans="1:11" x14ac:dyDescent="0.25">
      <c r="A89" s="1"/>
      <c r="B89" s="12"/>
      <c r="F89" s="12"/>
      <c r="H89" s="12"/>
      <c r="J89" s="12"/>
    </row>
    <row r="90" spans="1:11" x14ac:dyDescent="0.25">
      <c r="A90" s="1"/>
      <c r="B90" s="12"/>
      <c r="F90" s="12"/>
      <c r="H90" s="12"/>
      <c r="J90" s="12"/>
    </row>
    <row r="91" spans="1:11" x14ac:dyDescent="0.25">
      <c r="A91" s="1"/>
      <c r="B91" s="12"/>
      <c r="F91" s="12"/>
      <c r="H91" s="12"/>
      <c r="J91" s="12"/>
    </row>
    <row r="92" spans="1:11" x14ac:dyDescent="0.25">
      <c r="A92" s="1"/>
      <c r="B92" s="12"/>
      <c r="F92" s="12"/>
      <c r="H92" s="12"/>
      <c r="J92" s="12"/>
    </row>
    <row r="93" spans="1:11" x14ac:dyDescent="0.25">
      <c r="A93" s="1"/>
      <c r="B93" s="12"/>
      <c r="F93" s="12"/>
      <c r="H93" s="12"/>
      <c r="J93" s="12"/>
      <c r="K93" s="12"/>
    </row>
    <row r="94" spans="1:11" x14ac:dyDescent="0.25">
      <c r="A94" s="1"/>
      <c r="B94" s="12"/>
      <c r="F94" s="12"/>
      <c r="H94" s="12"/>
      <c r="J94" s="12"/>
    </row>
    <row r="95" spans="1:11" x14ac:dyDescent="0.25">
      <c r="A95" s="1"/>
      <c r="B95" s="12"/>
      <c r="F95" s="12"/>
      <c r="H95" s="12"/>
      <c r="J95" s="12"/>
    </row>
    <row r="96" spans="1:11" x14ac:dyDescent="0.25">
      <c r="A96" s="1"/>
      <c r="B96" s="12"/>
      <c r="F96" s="12"/>
      <c r="H96" s="12"/>
      <c r="J96" s="12"/>
    </row>
    <row r="97" spans="1:10" x14ac:dyDescent="0.25">
      <c r="A97" s="1"/>
      <c r="B97" s="12"/>
      <c r="F97" s="12"/>
      <c r="H97" s="12"/>
      <c r="J97" s="12"/>
    </row>
    <row r="98" spans="1:10" x14ac:dyDescent="0.25">
      <c r="A98" s="1"/>
      <c r="B98" s="12"/>
      <c r="F98" s="12"/>
      <c r="H98" s="12"/>
      <c r="J98" s="12"/>
    </row>
    <row r="99" spans="1:10" x14ac:dyDescent="0.25">
      <c r="A99" s="1"/>
      <c r="B99" s="12"/>
      <c r="F99" s="12"/>
      <c r="H99" s="12"/>
      <c r="J99" s="12"/>
    </row>
    <row r="100" spans="1:10" x14ac:dyDescent="0.25">
      <c r="A100" s="1"/>
      <c r="B100" s="12"/>
      <c r="F100" s="12"/>
      <c r="H100" s="12"/>
      <c r="J100" s="12"/>
    </row>
    <row r="101" spans="1:10" x14ac:dyDescent="0.25">
      <c r="A101" s="1"/>
      <c r="B101" s="12"/>
      <c r="F101" s="12"/>
      <c r="H101" s="12"/>
      <c r="J101" s="12"/>
    </row>
    <row r="102" spans="1:10" x14ac:dyDescent="0.25">
      <c r="A102" s="1"/>
      <c r="B102" s="12"/>
      <c r="F102" s="12"/>
      <c r="H102" s="12"/>
      <c r="J102" s="12"/>
    </row>
    <row r="103" spans="1:10" x14ac:dyDescent="0.25">
      <c r="A103" s="1"/>
      <c r="B103" s="12"/>
      <c r="F103" s="12"/>
      <c r="H103" s="12"/>
      <c r="J103" s="12"/>
    </row>
    <row r="104" spans="1:10" x14ac:dyDescent="0.25">
      <c r="A104" s="1"/>
      <c r="B104" s="12"/>
      <c r="E104" s="12"/>
      <c r="F104" s="12"/>
      <c r="H104" s="12"/>
      <c r="J104" s="12"/>
    </row>
    <row r="105" spans="1:10" x14ac:dyDescent="0.25">
      <c r="A105" s="1"/>
      <c r="B105" s="12"/>
      <c r="F105" s="12"/>
      <c r="H105" s="12"/>
      <c r="J105" s="12"/>
    </row>
    <row r="106" spans="1:10" x14ac:dyDescent="0.25">
      <c r="A106" s="1"/>
      <c r="B106" s="12"/>
      <c r="F106" s="12"/>
      <c r="H106" s="12"/>
      <c r="J106" s="12"/>
    </row>
    <row r="107" spans="1:10" x14ac:dyDescent="0.25">
      <c r="A107" s="1"/>
      <c r="B107" s="12"/>
      <c r="F107" s="12"/>
      <c r="H107" s="12"/>
      <c r="J107" s="12"/>
    </row>
    <row r="108" spans="1:10" x14ac:dyDescent="0.25">
      <c r="A108" s="1"/>
      <c r="B108" s="12"/>
      <c r="F108" s="12"/>
      <c r="H108" s="12"/>
      <c r="J108" s="12"/>
    </row>
    <row r="109" spans="1:10" x14ac:dyDescent="0.25">
      <c r="A109" s="1"/>
      <c r="B109" s="12"/>
      <c r="F109" s="12"/>
      <c r="H109" s="12"/>
      <c r="J109" s="12"/>
    </row>
    <row r="110" spans="1:10" x14ac:dyDescent="0.25">
      <c r="A110" s="1"/>
      <c r="B110" s="12"/>
      <c r="F110" s="12"/>
      <c r="H110" s="12"/>
      <c r="J110" s="12"/>
    </row>
    <row r="111" spans="1:10" x14ac:dyDescent="0.25">
      <c r="A111" s="1"/>
      <c r="B111" s="12"/>
      <c r="F111" s="12"/>
      <c r="H111" s="12"/>
      <c r="J111" s="12"/>
    </row>
    <row r="112" spans="1:10" x14ac:dyDescent="0.25">
      <c r="A112" s="1"/>
      <c r="B112" s="12"/>
      <c r="F112" s="12"/>
      <c r="H112" s="12"/>
      <c r="J112" s="12"/>
    </row>
    <row r="113" spans="1:10" x14ac:dyDescent="0.25">
      <c r="A113" s="1"/>
      <c r="B113" s="12"/>
      <c r="F113" s="12"/>
      <c r="H113" s="12"/>
      <c r="J113" s="12"/>
    </row>
    <row r="114" spans="1:10" x14ac:dyDescent="0.25">
      <c r="A114" s="1"/>
      <c r="B114" s="12"/>
      <c r="F114" s="12"/>
      <c r="H114" s="12"/>
      <c r="J114" s="12"/>
    </row>
    <row r="115" spans="1:10" x14ac:dyDescent="0.25">
      <c r="A115" s="1"/>
      <c r="B115" s="12"/>
      <c r="F115" s="12"/>
      <c r="H115" s="12"/>
      <c r="J115" s="12"/>
    </row>
    <row r="116" spans="1:10" x14ac:dyDescent="0.25">
      <c r="A116" s="1"/>
      <c r="B116" s="12"/>
      <c r="F116" s="12"/>
      <c r="H116" s="12"/>
      <c r="J116" s="12"/>
    </row>
    <row r="117" spans="1:10" x14ac:dyDescent="0.25">
      <c r="A117" s="1"/>
      <c r="B117" s="12"/>
      <c r="F117" s="12"/>
      <c r="H117" s="12"/>
      <c r="J117" s="12"/>
    </row>
    <row r="118" spans="1:10" x14ac:dyDescent="0.25">
      <c r="A118" s="1"/>
      <c r="B118" s="12"/>
      <c r="F118" s="12"/>
      <c r="H118" s="12"/>
      <c r="J118" s="12"/>
    </row>
    <row r="119" spans="1:10" x14ac:dyDescent="0.25">
      <c r="A119" s="1"/>
      <c r="B119" s="12"/>
      <c r="F119" s="12"/>
      <c r="H119" s="12"/>
      <c r="J119" s="12"/>
    </row>
    <row r="120" spans="1:10" x14ac:dyDescent="0.25">
      <c r="A120" s="1"/>
      <c r="B120" s="12"/>
      <c r="F120" s="12"/>
      <c r="H120" s="12"/>
      <c r="J120" s="12"/>
    </row>
    <row r="121" spans="1:10" x14ac:dyDescent="0.25">
      <c r="A121" s="1"/>
      <c r="B121" s="12"/>
      <c r="F121" s="12"/>
      <c r="H121" s="12"/>
      <c r="J121" s="12"/>
    </row>
    <row r="122" spans="1:10" x14ac:dyDescent="0.25">
      <c r="A122" s="1"/>
      <c r="B122" s="12"/>
      <c r="F122" s="12"/>
      <c r="H122" s="12"/>
      <c r="J122" s="12"/>
    </row>
    <row r="123" spans="1:10" x14ac:dyDescent="0.25">
      <c r="A123" s="1"/>
      <c r="B123" s="12"/>
      <c r="F123" s="12"/>
      <c r="H123" s="12"/>
      <c r="J123" s="12"/>
    </row>
    <row r="124" spans="1:10" x14ac:dyDescent="0.25">
      <c r="A124" s="1"/>
      <c r="B124" s="12"/>
      <c r="F124" s="12"/>
      <c r="H124" s="12"/>
      <c r="J124" s="12"/>
    </row>
    <row r="125" spans="1:10" x14ac:dyDescent="0.25">
      <c r="A125" s="1"/>
      <c r="B125" s="12"/>
      <c r="F125" s="12"/>
      <c r="H125" s="12"/>
      <c r="J125" s="12"/>
    </row>
    <row r="126" spans="1:10" x14ac:dyDescent="0.25">
      <c r="A126" s="1"/>
      <c r="B126" s="12"/>
      <c r="F126" s="12"/>
      <c r="H126" s="12"/>
      <c r="J126" s="12"/>
    </row>
    <row r="127" spans="1:10" x14ac:dyDescent="0.25">
      <c r="A127" s="1"/>
      <c r="B127" s="12"/>
      <c r="F127" s="12"/>
      <c r="H127" s="12"/>
      <c r="J127" s="12"/>
    </row>
    <row r="128" spans="1:10" x14ac:dyDescent="0.25">
      <c r="A128" s="1"/>
      <c r="B128" s="12"/>
      <c r="F128" s="12"/>
      <c r="H128" s="12"/>
      <c r="J128" s="12"/>
    </row>
    <row r="129" spans="1:10" x14ac:dyDescent="0.25">
      <c r="A129" s="1"/>
      <c r="B129" s="12"/>
      <c r="F129" s="12"/>
      <c r="H129" s="12"/>
      <c r="J129" s="12"/>
    </row>
    <row r="130" spans="1:10" x14ac:dyDescent="0.25">
      <c r="A130" s="1"/>
      <c r="B130" s="12"/>
      <c r="F130" s="12"/>
      <c r="H130" s="12"/>
      <c r="J130" s="12"/>
    </row>
    <row r="131" spans="1:10" x14ac:dyDescent="0.25">
      <c r="A131" s="1"/>
      <c r="B131" s="12"/>
      <c r="F131" s="12"/>
      <c r="H131" s="12"/>
      <c r="J131" s="12"/>
    </row>
    <row r="132" spans="1:10" x14ac:dyDescent="0.25">
      <c r="A132" s="1"/>
      <c r="B132" s="12"/>
      <c r="F132" s="12"/>
      <c r="H132" s="12"/>
      <c r="J132" s="12"/>
    </row>
    <row r="133" spans="1:10" x14ac:dyDescent="0.25">
      <c r="A133" s="1"/>
      <c r="B133" s="12"/>
      <c r="F133" s="12"/>
      <c r="H133" s="12"/>
      <c r="J133" s="12"/>
    </row>
    <row r="134" spans="1:10" x14ac:dyDescent="0.25">
      <c r="A134" s="1"/>
      <c r="B134" s="12"/>
      <c r="F134" s="12"/>
      <c r="H134" s="12"/>
      <c r="J134" s="12"/>
    </row>
    <row r="135" spans="1:10" x14ac:dyDescent="0.25">
      <c r="A135" s="1"/>
      <c r="B135" s="12"/>
      <c r="F135" s="12"/>
      <c r="H135" s="12"/>
      <c r="J135" s="12"/>
    </row>
    <row r="136" spans="1:10" x14ac:dyDescent="0.25">
      <c r="A136" s="1"/>
      <c r="B136" s="12"/>
      <c r="F136" s="12"/>
      <c r="H136" s="12"/>
      <c r="J136" s="12"/>
    </row>
    <row r="137" spans="1:10" x14ac:dyDescent="0.25">
      <c r="A137" s="1"/>
      <c r="B137" s="12"/>
      <c r="F137" s="12"/>
      <c r="H137" s="12"/>
      <c r="J137" s="12"/>
    </row>
    <row r="138" spans="1:10" x14ac:dyDescent="0.25">
      <c r="A138" s="1"/>
      <c r="B138" s="12"/>
      <c r="F138" s="12"/>
      <c r="H138" s="12"/>
      <c r="J138" s="12"/>
    </row>
    <row r="139" spans="1:10" x14ac:dyDescent="0.25">
      <c r="A139" s="1"/>
      <c r="B139" s="12"/>
      <c r="F139" s="12"/>
      <c r="H139" s="12"/>
      <c r="J139" s="12"/>
    </row>
    <row r="140" spans="1:10" x14ac:dyDescent="0.25">
      <c r="A140" s="1"/>
      <c r="B140" s="12"/>
      <c r="F140" s="12"/>
      <c r="H140" s="12"/>
      <c r="J140" s="12"/>
    </row>
    <row r="141" spans="1:10" x14ac:dyDescent="0.25">
      <c r="A141" s="1"/>
      <c r="B141" s="12"/>
      <c r="F141" s="12"/>
      <c r="H141" s="12"/>
      <c r="J141" s="12"/>
    </row>
  </sheetData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tendData">
                <anchor moveWithCells="1" sizeWithCells="1">
                  <from>
                    <xdr:col>8</xdr:col>
                    <xdr:colOff>142875</xdr:colOff>
                    <xdr:row>11</xdr:row>
                    <xdr:rowOff>161925</xdr:rowOff>
                  </from>
                  <to>
                    <xdr:col>9</xdr:col>
                    <xdr:colOff>1019175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WriteWordValues">
                <anchor moveWithCells="1" sizeWithCells="1">
                  <from>
                    <xdr:col>8</xdr:col>
                    <xdr:colOff>123825</xdr:colOff>
                    <xdr:row>16</xdr:row>
                    <xdr:rowOff>123825</xdr:rowOff>
                  </from>
                  <to>
                    <xdr:col>9</xdr:col>
                    <xdr:colOff>1009650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67"/>
  <sheetViews>
    <sheetView zoomScale="70" zoomScaleNormal="70" workbookViewId="0"/>
  </sheetViews>
  <sheetFormatPr defaultRowHeight="15.75" x14ac:dyDescent="0.25"/>
  <cols>
    <col min="1" max="1" width="13.5" style="2" customWidth="1"/>
    <col min="2" max="2" width="11.125"/>
    <col min="3" max="3" width="15" bestFit="1" customWidth="1"/>
    <col min="4" max="4" width="15" customWidth="1"/>
    <col min="5" max="5" width="9.375" customWidth="1"/>
    <col min="6" max="6" width="24" customWidth="1"/>
    <col min="7" max="7" width="31.25" customWidth="1"/>
    <col min="9" max="9" width="11.75" customWidth="1"/>
    <col min="10" max="10" width="11.5" customWidth="1"/>
  </cols>
  <sheetData>
    <row r="1" spans="1:17" ht="16.5" thickBot="1" x14ac:dyDescent="0.3">
      <c r="A1"/>
    </row>
    <row r="2" spans="1:17" ht="16.5" thickBot="1" x14ac:dyDescent="0.3">
      <c r="A2" s="1" t="s">
        <v>4</v>
      </c>
      <c r="B2" t="s">
        <v>25</v>
      </c>
      <c r="C2" t="s">
        <v>6</v>
      </c>
      <c r="D2" t="s">
        <v>31</v>
      </c>
      <c r="F2" s="40" t="s">
        <v>30</v>
      </c>
      <c r="G2" s="41"/>
      <c r="H2" s="18"/>
      <c r="I2" s="17"/>
      <c r="J2" s="17"/>
      <c r="K2" s="17"/>
      <c r="L2" s="17"/>
      <c r="M2" s="17"/>
      <c r="N2" s="17"/>
      <c r="O2" s="17"/>
      <c r="P2" s="17"/>
      <c r="Q2" s="17"/>
    </row>
    <row r="3" spans="1:17" x14ac:dyDescent="0.25">
      <c r="A3" s="1">
        <f>Calculation!A28</f>
        <v>42087</v>
      </c>
      <c r="B3">
        <f>C3*Calculation!$O$28</f>
        <v>49217.156842399396</v>
      </c>
      <c r="C3" s="3">
        <f>VLOOKUP('Net Performance'!A3,Calculation!$A$28:$R$1048576,18,0)</f>
        <v>0.99214068399999999</v>
      </c>
      <c r="D3" s="3">
        <f>LN(1/C5)</f>
        <v>3.4034687024985053E-3</v>
      </c>
      <c r="F3" s="13" t="s">
        <v>7</v>
      </c>
      <c r="G3" s="19" t="s">
        <v>29</v>
      </c>
      <c r="H3" s="18"/>
      <c r="I3" s="17"/>
      <c r="J3" s="17"/>
      <c r="K3" s="17"/>
      <c r="L3" s="17"/>
      <c r="M3" s="17"/>
      <c r="N3" s="17"/>
      <c r="O3" s="17"/>
      <c r="P3" s="17"/>
      <c r="Q3" s="17"/>
    </row>
    <row r="4" spans="1:17" x14ac:dyDescent="0.25">
      <c r="A4" s="1">
        <f>Calculation!A29</f>
        <v>42088</v>
      </c>
      <c r="B4">
        <f>C4*50000</f>
        <v>50198.265229087214</v>
      </c>
      <c r="C4" s="3">
        <f>VLOOKUP('Net Performance'!A4,Calculation!$A$28:$R$1048576,18,0)</f>
        <v>1.0039653045817443</v>
      </c>
      <c r="D4" s="3"/>
      <c r="F4" s="39">
        <f>C6-1</f>
        <v>-1.3593031933363253E-3</v>
      </c>
      <c r="G4" s="38">
        <f>F4*(365/(A6-A3))</f>
        <v>-0.16538188852258626</v>
      </c>
      <c r="H4" s="18"/>
      <c r="I4" s="17"/>
      <c r="J4" s="23"/>
      <c r="K4" s="17"/>
      <c r="L4" s="17"/>
      <c r="M4" s="17"/>
      <c r="N4" s="17"/>
      <c r="O4" s="17"/>
      <c r="P4" s="17"/>
      <c r="Q4" s="17"/>
    </row>
    <row r="5" spans="1:17" x14ac:dyDescent="0.25">
      <c r="A5" s="1">
        <f>Calculation!A30</f>
        <v>42089</v>
      </c>
      <c r="B5">
        <f t="shared" ref="B5:B6" si="0">C5*50000</f>
        <v>49830.115826597837</v>
      </c>
      <c r="C5" s="3">
        <f>VLOOKUP('Net Performance'!A5,Calculation!$A$28:$R$1048576,18,0)</f>
        <v>0.99660231653195674</v>
      </c>
      <c r="D5" s="3"/>
      <c r="F5" s="14"/>
      <c r="G5" s="20"/>
      <c r="H5" s="18"/>
      <c r="I5" s="17"/>
      <c r="J5" s="23"/>
      <c r="K5" s="17"/>
      <c r="L5" s="17"/>
      <c r="M5" s="17"/>
      <c r="N5" s="17"/>
      <c r="O5" s="17"/>
      <c r="P5" s="17"/>
      <c r="Q5" s="17"/>
    </row>
    <row r="6" spans="1:17" x14ac:dyDescent="0.25">
      <c r="A6" s="1">
        <f>Calculation!A31</f>
        <v>42090</v>
      </c>
      <c r="B6">
        <f t="shared" si="0"/>
        <v>49932.034840333181</v>
      </c>
      <c r="C6" s="3">
        <f>VLOOKUP('Net Performance'!A6,Calculation!$A$28:$R$1048576,18,0)</f>
        <v>0.99864069680666367</v>
      </c>
      <c r="D6" s="3"/>
      <c r="F6" s="15" t="s">
        <v>8</v>
      </c>
      <c r="G6" s="21"/>
      <c r="H6" s="18"/>
      <c r="I6" s="17"/>
      <c r="J6" s="17"/>
      <c r="K6" s="17"/>
      <c r="L6" s="17"/>
      <c r="M6" s="17"/>
      <c r="N6" s="17"/>
      <c r="O6" s="17"/>
      <c r="P6" s="17"/>
      <c r="Q6" s="17"/>
    </row>
    <row r="7" spans="1:17" x14ac:dyDescent="0.25">
      <c r="A7" s="1"/>
      <c r="C7" s="3"/>
      <c r="D7" s="3"/>
      <c r="F7" s="37">
        <f>F4/$D$3</f>
        <v>-0.39938759899230253</v>
      </c>
      <c r="G7" s="20"/>
      <c r="H7" s="18"/>
      <c r="I7" s="17"/>
      <c r="J7" s="17"/>
      <c r="K7" s="17"/>
      <c r="L7" s="17"/>
      <c r="M7" s="17"/>
      <c r="N7" s="17"/>
      <c r="O7" s="17"/>
      <c r="P7" s="17"/>
      <c r="Q7" s="17"/>
    </row>
    <row r="8" spans="1:17" x14ac:dyDescent="0.25">
      <c r="A8" s="1"/>
      <c r="C8" s="3"/>
      <c r="D8" s="3"/>
      <c r="F8" s="14"/>
      <c r="G8" s="20"/>
      <c r="H8" s="18"/>
      <c r="I8" s="17"/>
      <c r="J8" s="17"/>
      <c r="K8" s="17"/>
      <c r="L8" s="17"/>
      <c r="M8" s="17"/>
      <c r="N8" s="17"/>
      <c r="O8" s="17"/>
      <c r="P8" s="17"/>
      <c r="Q8" s="17"/>
    </row>
    <row r="9" spans="1:17" x14ac:dyDescent="0.25">
      <c r="A9" s="1"/>
      <c r="C9" s="3"/>
      <c r="D9" s="3"/>
      <c r="F9" s="15" t="s">
        <v>37</v>
      </c>
      <c r="G9" s="21"/>
      <c r="H9" s="18"/>
      <c r="I9" s="17"/>
      <c r="J9" s="17"/>
      <c r="K9" s="17"/>
      <c r="L9" s="17"/>
      <c r="M9" s="17"/>
      <c r="N9" s="17"/>
      <c r="O9" s="17"/>
      <c r="P9" s="17"/>
      <c r="Q9" s="17"/>
    </row>
    <row r="10" spans="1:17" x14ac:dyDescent="0.25">
      <c r="A10" s="1"/>
      <c r="C10" s="3"/>
      <c r="D10" s="3"/>
      <c r="F10" s="24">
        <f>50000*C6-50000</f>
        <v>-67.96515966681909</v>
      </c>
      <c r="G10" s="20"/>
      <c r="H10" s="18"/>
      <c r="I10" s="17"/>
      <c r="J10" s="17"/>
      <c r="K10" s="17"/>
      <c r="L10" s="17"/>
      <c r="M10" s="17"/>
      <c r="N10" s="17"/>
      <c r="O10" s="17"/>
      <c r="P10" s="17"/>
      <c r="Q10" s="17"/>
    </row>
    <row r="11" spans="1:17" x14ac:dyDescent="0.25">
      <c r="A11" s="1"/>
      <c r="C11" s="3"/>
      <c r="D11" s="3"/>
      <c r="F11" s="14"/>
      <c r="G11" s="20"/>
      <c r="H11" s="18"/>
      <c r="I11" s="17"/>
      <c r="J11" s="17"/>
      <c r="K11" s="17"/>
      <c r="L11" s="17"/>
      <c r="M11" s="17"/>
      <c r="N11" s="17"/>
      <c r="O11" s="17"/>
      <c r="P11" s="17"/>
      <c r="Q11" s="17"/>
    </row>
    <row r="12" spans="1:17" x14ac:dyDescent="0.25">
      <c r="A12" s="1"/>
      <c r="C12" s="3"/>
      <c r="D12" s="3"/>
      <c r="F12" s="15" t="s">
        <v>32</v>
      </c>
      <c r="G12" s="21"/>
      <c r="H12" s="18"/>
      <c r="I12" s="17"/>
      <c r="J12" s="17"/>
      <c r="K12" s="17"/>
      <c r="L12" s="17"/>
      <c r="M12" s="17"/>
      <c r="N12" s="17"/>
      <c r="O12" s="17"/>
      <c r="P12" s="17"/>
      <c r="Q12" s="17"/>
    </row>
    <row r="13" spans="1:17" x14ac:dyDescent="0.25">
      <c r="A13" s="1"/>
      <c r="C13" s="3"/>
      <c r="D13" s="3"/>
      <c r="F13" s="25">
        <f>IF(F10&lt;0,0,F10*0.2)</f>
        <v>0</v>
      </c>
      <c r="G13" s="22"/>
      <c r="H13" s="18"/>
      <c r="I13" s="17"/>
      <c r="J13" s="17"/>
      <c r="K13" s="17"/>
      <c r="L13" s="17"/>
      <c r="M13" s="17"/>
      <c r="N13" s="17"/>
      <c r="O13" s="17"/>
      <c r="P13" s="17"/>
      <c r="Q13" s="17"/>
    </row>
    <row r="14" spans="1:17" x14ac:dyDescent="0.25">
      <c r="A14" s="1"/>
      <c r="C14" s="3"/>
      <c r="D14" s="3"/>
      <c r="F14" s="26"/>
      <c r="G14" s="27"/>
      <c r="H14" s="18"/>
      <c r="I14" s="17"/>
      <c r="J14" s="17"/>
      <c r="K14" s="17"/>
      <c r="L14" s="17"/>
      <c r="M14" s="17"/>
      <c r="N14" s="17"/>
      <c r="O14" s="17"/>
      <c r="P14" s="17"/>
      <c r="Q14" s="17"/>
    </row>
    <row r="15" spans="1:17" x14ac:dyDescent="0.25">
      <c r="A15" s="1"/>
      <c r="C15" s="3"/>
      <c r="D15" s="3"/>
      <c r="F15" s="28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30"/>
    </row>
    <row r="16" spans="1:17" x14ac:dyDescent="0.25">
      <c r="A16" s="1"/>
      <c r="C16" s="3"/>
      <c r="D16" s="3"/>
      <c r="F16" s="31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32"/>
    </row>
    <row r="17" spans="1:17" x14ac:dyDescent="0.25">
      <c r="A17" s="1"/>
      <c r="C17" s="3"/>
      <c r="D17" s="3"/>
      <c r="F17" s="31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32"/>
    </row>
    <row r="18" spans="1:17" x14ac:dyDescent="0.25">
      <c r="A18" s="1"/>
      <c r="C18" s="3"/>
      <c r="D18" s="3"/>
      <c r="F18" s="31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32"/>
    </row>
    <row r="19" spans="1:17" x14ac:dyDescent="0.25">
      <c r="A19" s="1"/>
      <c r="C19" s="3"/>
      <c r="D19" s="3"/>
      <c r="F19" s="31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32"/>
    </row>
    <row r="20" spans="1:17" x14ac:dyDescent="0.25">
      <c r="A20" s="1"/>
      <c r="C20" s="3"/>
      <c r="D20" s="3"/>
      <c r="F20" s="31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32"/>
    </row>
    <row r="21" spans="1:17" x14ac:dyDescent="0.25">
      <c r="A21" s="1"/>
      <c r="C21" s="3"/>
      <c r="D21" s="3"/>
      <c r="F21" s="31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32"/>
    </row>
    <row r="22" spans="1:17" x14ac:dyDescent="0.25">
      <c r="A22" s="1"/>
      <c r="C22" s="3"/>
      <c r="D22" s="3"/>
      <c r="F22" s="31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32"/>
    </row>
    <row r="23" spans="1:17" x14ac:dyDescent="0.25">
      <c r="A23" s="1"/>
      <c r="C23" s="3"/>
      <c r="D23" s="3"/>
      <c r="F23" s="31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32"/>
    </row>
    <row r="24" spans="1:17" x14ac:dyDescent="0.25">
      <c r="A24" s="1"/>
      <c r="C24" s="3"/>
      <c r="D24" s="3"/>
      <c r="F24" s="31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32"/>
    </row>
    <row r="25" spans="1:17" x14ac:dyDescent="0.25">
      <c r="A25" s="1"/>
      <c r="C25" s="3"/>
      <c r="D25" s="3"/>
      <c r="F25" s="31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32"/>
    </row>
    <row r="26" spans="1:17" x14ac:dyDescent="0.25">
      <c r="A26" s="1"/>
      <c r="C26" s="3"/>
      <c r="D26" s="3"/>
      <c r="F26" s="31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32"/>
    </row>
    <row r="27" spans="1:17" x14ac:dyDescent="0.25">
      <c r="A27" s="1"/>
      <c r="C27" s="3"/>
      <c r="D27" s="3"/>
      <c r="F27" s="31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32"/>
    </row>
    <row r="28" spans="1:17" x14ac:dyDescent="0.25">
      <c r="A28" s="1"/>
      <c r="C28" s="3"/>
      <c r="D28" s="3"/>
      <c r="F28" s="31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32"/>
    </row>
    <row r="29" spans="1:17" x14ac:dyDescent="0.25">
      <c r="A29" s="1"/>
      <c r="C29" s="3"/>
      <c r="D29" s="3"/>
      <c r="F29" s="31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32"/>
    </row>
    <row r="30" spans="1:17" x14ac:dyDescent="0.25">
      <c r="A30" s="1"/>
      <c r="C30" s="3"/>
      <c r="D30" s="7"/>
      <c r="F30" s="31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32"/>
    </row>
    <row r="31" spans="1:17" x14ac:dyDescent="0.25">
      <c r="A31" s="1"/>
      <c r="C31" s="3"/>
      <c r="F31" s="31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32"/>
    </row>
    <row r="32" spans="1:17" x14ac:dyDescent="0.25">
      <c r="A32" s="1"/>
      <c r="C32" s="3"/>
      <c r="F32" s="31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32"/>
    </row>
    <row r="33" spans="1:17" x14ac:dyDescent="0.25">
      <c r="A33" s="1"/>
      <c r="C33" s="3"/>
      <c r="F33" s="31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32"/>
    </row>
    <row r="34" spans="1:17" x14ac:dyDescent="0.25">
      <c r="A34" s="1"/>
      <c r="C34" s="3"/>
      <c r="F34" s="31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32"/>
    </row>
    <row r="35" spans="1:17" x14ac:dyDescent="0.25">
      <c r="A35" s="1"/>
      <c r="C35" s="3"/>
      <c r="F35" s="31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32"/>
    </row>
    <row r="36" spans="1:17" x14ac:dyDescent="0.25">
      <c r="A36" s="1"/>
      <c r="C36" s="3"/>
      <c r="F36" s="31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32"/>
    </row>
    <row r="37" spans="1:17" x14ac:dyDescent="0.25">
      <c r="A37" s="1"/>
      <c r="C37" s="3"/>
      <c r="F37" s="31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32"/>
    </row>
    <row r="38" spans="1:17" x14ac:dyDescent="0.25">
      <c r="A38" s="1"/>
      <c r="C38" s="3"/>
      <c r="F38" s="31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32"/>
    </row>
    <row r="39" spans="1:17" x14ac:dyDescent="0.25">
      <c r="A39" s="1"/>
      <c r="C39" s="3"/>
      <c r="F39" s="31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32"/>
    </row>
    <row r="40" spans="1:17" x14ac:dyDescent="0.25">
      <c r="A40" s="1"/>
      <c r="C40" s="3"/>
      <c r="F40" s="31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32"/>
    </row>
    <row r="41" spans="1:17" x14ac:dyDescent="0.25">
      <c r="A41" s="1"/>
      <c r="C41" s="3"/>
      <c r="F41" s="31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32"/>
    </row>
    <row r="42" spans="1:17" x14ac:dyDescent="0.25">
      <c r="A42" s="1"/>
      <c r="C42" s="3"/>
      <c r="F42" s="31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32"/>
    </row>
    <row r="43" spans="1:17" x14ac:dyDescent="0.25">
      <c r="A43" s="1"/>
      <c r="C43" s="3"/>
      <c r="F43" s="31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32"/>
    </row>
    <row r="44" spans="1:17" x14ac:dyDescent="0.25">
      <c r="A44" s="1"/>
      <c r="C44" s="3"/>
      <c r="F44" s="31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32"/>
    </row>
    <row r="45" spans="1:17" x14ac:dyDescent="0.25">
      <c r="A45" s="1"/>
      <c r="C45" s="3"/>
      <c r="F45" s="31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32"/>
    </row>
    <row r="46" spans="1:17" x14ac:dyDescent="0.25">
      <c r="A46" s="1"/>
      <c r="C46" s="3"/>
      <c r="F46" s="31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32"/>
    </row>
    <row r="47" spans="1:17" x14ac:dyDescent="0.25">
      <c r="A47" s="1"/>
      <c r="C47" s="3"/>
      <c r="F47" s="31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32"/>
    </row>
    <row r="48" spans="1:17" x14ac:dyDescent="0.25">
      <c r="A48" s="1"/>
      <c r="C48" s="3"/>
      <c r="F48" s="31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32"/>
    </row>
    <row r="49" spans="1:17" x14ac:dyDescent="0.25">
      <c r="A49" s="1"/>
      <c r="C49" s="3"/>
      <c r="F49" s="33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5"/>
    </row>
    <row r="50" spans="1:17" x14ac:dyDescent="0.25">
      <c r="A50" s="1"/>
      <c r="C50" s="3"/>
    </row>
    <row r="51" spans="1:17" x14ac:dyDescent="0.25">
      <c r="A51" s="1"/>
      <c r="C51" s="3"/>
    </row>
    <row r="52" spans="1:17" x14ac:dyDescent="0.25">
      <c r="A52" s="1"/>
      <c r="C52" s="3"/>
    </row>
    <row r="53" spans="1:17" x14ac:dyDescent="0.25">
      <c r="A53" s="1"/>
      <c r="C53" s="3"/>
    </row>
    <row r="54" spans="1:17" x14ac:dyDescent="0.25">
      <c r="A54" s="1"/>
      <c r="C54" s="3"/>
    </row>
    <row r="55" spans="1:17" x14ac:dyDescent="0.25">
      <c r="A55" s="1"/>
      <c r="C55" s="3"/>
    </row>
    <row r="56" spans="1:17" x14ac:dyDescent="0.25">
      <c r="A56" s="1"/>
      <c r="C56" s="3"/>
    </row>
    <row r="57" spans="1:17" x14ac:dyDescent="0.25">
      <c r="A57" s="1"/>
      <c r="C57" s="3"/>
    </row>
    <row r="58" spans="1:17" x14ac:dyDescent="0.25">
      <c r="A58" s="1"/>
      <c r="C58" s="3"/>
    </row>
    <row r="59" spans="1:17" x14ac:dyDescent="0.25">
      <c r="A59" s="1"/>
      <c r="C59" s="3"/>
    </row>
    <row r="60" spans="1:17" x14ac:dyDescent="0.25">
      <c r="A60" s="1"/>
      <c r="C60" s="3"/>
    </row>
    <row r="61" spans="1:17" x14ac:dyDescent="0.25">
      <c r="A61" s="1"/>
      <c r="C61" s="3"/>
    </row>
    <row r="62" spans="1:17" x14ac:dyDescent="0.25">
      <c r="A62" s="1"/>
      <c r="C62" s="3"/>
    </row>
    <row r="63" spans="1:17" x14ac:dyDescent="0.25">
      <c r="A63" s="1"/>
      <c r="C63" s="3"/>
    </row>
    <row r="64" spans="1:17" x14ac:dyDescent="0.25">
      <c r="A64" s="1"/>
      <c r="C64" s="3"/>
    </row>
    <row r="65" spans="1:4" x14ac:dyDescent="0.25">
      <c r="A65" s="1"/>
      <c r="C65" s="3"/>
    </row>
    <row r="66" spans="1:4" x14ac:dyDescent="0.25">
      <c r="A66" s="1"/>
      <c r="C66" s="3"/>
    </row>
    <row r="67" spans="1:4" x14ac:dyDescent="0.25">
      <c r="A67" s="1"/>
      <c r="C67" s="3"/>
    </row>
    <row r="68" spans="1:4" x14ac:dyDescent="0.25">
      <c r="A68" s="1"/>
      <c r="C68" s="3"/>
    </row>
    <row r="69" spans="1:4" x14ac:dyDescent="0.25">
      <c r="A69" s="1"/>
      <c r="C69" s="3"/>
    </row>
    <row r="70" spans="1:4" x14ac:dyDescent="0.25">
      <c r="A70" s="1"/>
      <c r="C70" s="3"/>
    </row>
    <row r="71" spans="1:4" x14ac:dyDescent="0.25">
      <c r="A71" s="1"/>
      <c r="C71" s="3"/>
      <c r="D71" s="7"/>
    </row>
    <row r="72" spans="1:4" x14ac:dyDescent="0.25">
      <c r="A72" s="1"/>
      <c r="C72" s="3"/>
      <c r="D72" s="3"/>
    </row>
    <row r="73" spans="1:4" x14ac:dyDescent="0.25">
      <c r="A73" s="1"/>
      <c r="C73" s="3"/>
      <c r="D73" s="3"/>
    </row>
    <row r="74" spans="1:4" x14ac:dyDescent="0.25">
      <c r="A74" s="1"/>
      <c r="C74" s="3"/>
      <c r="D74" s="3"/>
    </row>
    <row r="75" spans="1:4" x14ac:dyDescent="0.25">
      <c r="A75" s="1"/>
      <c r="C75" s="3"/>
      <c r="D75" s="3"/>
    </row>
    <row r="76" spans="1:4" x14ac:dyDescent="0.25">
      <c r="A76" s="1"/>
      <c r="C76" s="3"/>
      <c r="D76" s="3"/>
    </row>
    <row r="77" spans="1:4" x14ac:dyDescent="0.25">
      <c r="A77" s="1"/>
      <c r="C77" s="3"/>
      <c r="D77" s="3"/>
    </row>
    <row r="78" spans="1:4" x14ac:dyDescent="0.25">
      <c r="A78" s="1"/>
      <c r="C78" s="3"/>
      <c r="D78" s="3"/>
    </row>
    <row r="79" spans="1:4" x14ac:dyDescent="0.25">
      <c r="A79" s="1"/>
      <c r="C79" s="3"/>
      <c r="D79" s="3"/>
    </row>
    <row r="80" spans="1:4" x14ac:dyDescent="0.25">
      <c r="A80" s="1"/>
      <c r="C80" s="3"/>
      <c r="D80" s="3"/>
    </row>
    <row r="81" spans="1:5" x14ac:dyDescent="0.25">
      <c r="A81" s="1"/>
      <c r="C81" s="3"/>
      <c r="D81" s="3"/>
    </row>
    <row r="82" spans="1:5" x14ac:dyDescent="0.25">
      <c r="A82" s="1"/>
      <c r="C82" s="3"/>
      <c r="D82" s="3"/>
    </row>
    <row r="83" spans="1:5" x14ac:dyDescent="0.25">
      <c r="A83" s="1"/>
      <c r="C83" s="3"/>
      <c r="D83" s="3"/>
      <c r="E83" s="4"/>
    </row>
    <row r="84" spans="1:5" x14ac:dyDescent="0.25">
      <c r="A84" s="1"/>
      <c r="C84" s="3"/>
      <c r="D84" s="3"/>
    </row>
    <row r="85" spans="1:5" x14ac:dyDescent="0.25">
      <c r="A85" s="1"/>
      <c r="C85" s="3"/>
      <c r="D85" s="3"/>
    </row>
    <row r="86" spans="1:5" x14ac:dyDescent="0.25">
      <c r="A86" s="1"/>
      <c r="C86" s="3"/>
      <c r="D86" s="3"/>
    </row>
    <row r="87" spans="1:5" x14ac:dyDescent="0.25">
      <c r="A87" s="1"/>
      <c r="C87" s="3"/>
      <c r="D87" s="3"/>
    </row>
    <row r="88" spans="1:5" x14ac:dyDescent="0.25">
      <c r="A88" s="1"/>
      <c r="C88" s="3"/>
      <c r="D88" s="3"/>
    </row>
    <row r="89" spans="1:5" x14ac:dyDescent="0.25">
      <c r="A89" s="1"/>
      <c r="C89" s="3"/>
      <c r="D89" s="3"/>
    </row>
    <row r="90" spans="1:5" x14ac:dyDescent="0.25">
      <c r="A90" s="1"/>
      <c r="C90" s="3"/>
      <c r="D90" s="3"/>
    </row>
    <row r="91" spans="1:5" x14ac:dyDescent="0.25">
      <c r="A91" s="1"/>
      <c r="C91" s="3"/>
      <c r="D91" s="3"/>
    </row>
    <row r="92" spans="1:5" x14ac:dyDescent="0.25">
      <c r="A92" s="1"/>
      <c r="C92" s="3"/>
      <c r="D92" s="3"/>
    </row>
    <row r="93" spans="1:5" x14ac:dyDescent="0.25">
      <c r="A93" s="1"/>
      <c r="C93" s="3"/>
      <c r="D93" s="3"/>
    </row>
    <row r="94" spans="1:5" x14ac:dyDescent="0.25">
      <c r="A94" s="1"/>
      <c r="C94" s="3"/>
      <c r="D94" s="3"/>
    </row>
    <row r="95" spans="1:5" x14ac:dyDescent="0.25">
      <c r="A95" s="1"/>
      <c r="C95" s="3"/>
      <c r="D95" s="3"/>
    </row>
    <row r="96" spans="1:5" x14ac:dyDescent="0.25">
      <c r="A96" s="1"/>
      <c r="C96" s="3"/>
      <c r="D96" s="3"/>
    </row>
    <row r="97" spans="1:5" x14ac:dyDescent="0.25">
      <c r="A97" s="1"/>
      <c r="C97" s="3"/>
      <c r="D97" s="3"/>
      <c r="E97" s="4"/>
    </row>
    <row r="98" spans="1:5" x14ac:dyDescent="0.25">
      <c r="A98" s="1"/>
      <c r="C98" s="3"/>
      <c r="D98" s="3"/>
    </row>
    <row r="99" spans="1:5" x14ac:dyDescent="0.25">
      <c r="A99" s="1"/>
      <c r="C99" s="3"/>
      <c r="D99" s="3"/>
    </row>
    <row r="100" spans="1:5" x14ac:dyDescent="0.25">
      <c r="A100" s="1"/>
      <c r="C100" s="3"/>
      <c r="D100" s="3"/>
    </row>
    <row r="101" spans="1:5" x14ac:dyDescent="0.25">
      <c r="A101" s="1"/>
      <c r="C101" s="3"/>
      <c r="D101" s="3"/>
    </row>
    <row r="102" spans="1:5" x14ac:dyDescent="0.25">
      <c r="A102" s="1"/>
      <c r="C102" s="3"/>
      <c r="D102" s="3"/>
    </row>
    <row r="103" spans="1:5" x14ac:dyDescent="0.25">
      <c r="A103" s="1"/>
      <c r="C103" s="3"/>
      <c r="D103" s="3"/>
    </row>
    <row r="104" spans="1:5" x14ac:dyDescent="0.25">
      <c r="A104" s="1"/>
      <c r="C104" s="3"/>
      <c r="D104" s="3"/>
    </row>
    <row r="105" spans="1:5" x14ac:dyDescent="0.25">
      <c r="A105" s="1"/>
      <c r="C105" s="3"/>
      <c r="D105" s="3"/>
    </row>
    <row r="106" spans="1:5" x14ac:dyDescent="0.25">
      <c r="A106" s="1"/>
      <c r="C106" s="3"/>
      <c r="D106" s="3"/>
    </row>
    <row r="107" spans="1:5" x14ac:dyDescent="0.25">
      <c r="A107" s="1"/>
      <c r="C107" s="3"/>
      <c r="D107" s="3"/>
    </row>
    <row r="108" spans="1:5" x14ac:dyDescent="0.25">
      <c r="A108" s="1"/>
      <c r="C108" s="3"/>
      <c r="D108" s="3"/>
    </row>
    <row r="109" spans="1:5" x14ac:dyDescent="0.25">
      <c r="A109" s="1"/>
      <c r="C109" s="3"/>
      <c r="D109" s="3"/>
    </row>
    <row r="110" spans="1:5" x14ac:dyDescent="0.25">
      <c r="A110" s="1"/>
      <c r="C110" s="3"/>
      <c r="D110" s="3"/>
    </row>
    <row r="111" spans="1:5" x14ac:dyDescent="0.25">
      <c r="A111" s="1"/>
      <c r="C111" s="3"/>
      <c r="D111" s="3"/>
    </row>
    <row r="112" spans="1:5" x14ac:dyDescent="0.25">
      <c r="A112" s="1"/>
      <c r="C112" s="3"/>
      <c r="D112" s="3"/>
    </row>
    <row r="113" spans="1:4" x14ac:dyDescent="0.25">
      <c r="A113" s="1"/>
      <c r="C113" s="3"/>
      <c r="D113" s="3"/>
    </row>
    <row r="114" spans="1:4" x14ac:dyDescent="0.25">
      <c r="A114" s="1"/>
      <c r="C114" s="3"/>
      <c r="D114" s="3"/>
    </row>
    <row r="115" spans="1:4" x14ac:dyDescent="0.25">
      <c r="A115" s="1"/>
      <c r="C115" s="3"/>
      <c r="D115" s="3"/>
    </row>
    <row r="116" spans="1:4" x14ac:dyDescent="0.25">
      <c r="A116" s="1"/>
      <c r="C116" s="3"/>
      <c r="D116" s="3"/>
    </row>
    <row r="117" spans="1:4" x14ac:dyDescent="0.25">
      <c r="A117" s="1"/>
      <c r="C117" s="3"/>
      <c r="D117" s="3"/>
    </row>
    <row r="118" spans="1:4" x14ac:dyDescent="0.25">
      <c r="A118" s="9"/>
      <c r="C118" s="3"/>
      <c r="D118" s="3"/>
    </row>
    <row r="119" spans="1:4" x14ac:dyDescent="0.25">
      <c r="A119" s="9"/>
      <c r="C119" s="3"/>
      <c r="D119" s="3"/>
    </row>
    <row r="120" spans="1:4" x14ac:dyDescent="0.25">
      <c r="A120" s="9"/>
      <c r="C120" s="3"/>
      <c r="D120" s="3"/>
    </row>
    <row r="121" spans="1:4" x14ac:dyDescent="0.25">
      <c r="A121" s="9"/>
      <c r="C121" s="3"/>
      <c r="D121" s="3"/>
    </row>
    <row r="122" spans="1:4" x14ac:dyDescent="0.25">
      <c r="A122" s="9"/>
      <c r="C122" s="3"/>
      <c r="D122" s="3"/>
    </row>
    <row r="123" spans="1:4" x14ac:dyDescent="0.25">
      <c r="A123" s="9"/>
      <c r="C123" s="3"/>
      <c r="D123" s="3"/>
    </row>
    <row r="124" spans="1:4" x14ac:dyDescent="0.25">
      <c r="A124" s="9"/>
      <c r="C124" s="3"/>
      <c r="D124" s="3"/>
    </row>
    <row r="125" spans="1:4" x14ac:dyDescent="0.25">
      <c r="A125" s="9"/>
      <c r="C125" s="3"/>
      <c r="D125" s="3"/>
    </row>
    <row r="126" spans="1:4" x14ac:dyDescent="0.25">
      <c r="A126" s="9"/>
      <c r="C126" s="3"/>
      <c r="D126" s="3"/>
    </row>
    <row r="127" spans="1:4" x14ac:dyDescent="0.25">
      <c r="A127" s="9"/>
      <c r="C127" s="3"/>
      <c r="D127" s="3"/>
    </row>
    <row r="128" spans="1:4" x14ac:dyDescent="0.25">
      <c r="A128" s="9"/>
      <c r="C128" s="3"/>
      <c r="D128" s="3"/>
    </row>
    <row r="129" spans="1:4" x14ac:dyDescent="0.25">
      <c r="A129" s="9"/>
      <c r="C129" s="3"/>
      <c r="D129" s="3"/>
    </row>
    <row r="130" spans="1:4" x14ac:dyDescent="0.25">
      <c r="A130" s="9"/>
      <c r="C130" s="3"/>
      <c r="D130" s="3"/>
    </row>
    <row r="131" spans="1:4" x14ac:dyDescent="0.25">
      <c r="A131" s="9"/>
      <c r="C131" s="3"/>
      <c r="D131" s="3"/>
    </row>
    <row r="132" spans="1:4" x14ac:dyDescent="0.25">
      <c r="A132" s="9"/>
      <c r="C132" s="3"/>
      <c r="D132" s="3"/>
    </row>
    <row r="133" spans="1:4" x14ac:dyDescent="0.25">
      <c r="A133" s="9"/>
      <c r="C133" s="3"/>
      <c r="D133" s="3"/>
    </row>
    <row r="134" spans="1:4" x14ac:dyDescent="0.25">
      <c r="A134" s="9"/>
      <c r="C134" s="3"/>
      <c r="D134" s="3"/>
    </row>
    <row r="135" spans="1:4" x14ac:dyDescent="0.25">
      <c r="A135" s="9"/>
      <c r="C135" s="3"/>
      <c r="D135" s="3"/>
    </row>
    <row r="136" spans="1:4" x14ac:dyDescent="0.25">
      <c r="A136" s="9"/>
      <c r="C136" s="3"/>
      <c r="D136" s="3"/>
    </row>
    <row r="137" spans="1:4" x14ac:dyDescent="0.25">
      <c r="A137" s="9"/>
      <c r="C137" s="3"/>
      <c r="D137" s="3"/>
    </row>
    <row r="138" spans="1:4" x14ac:dyDescent="0.25">
      <c r="A138" s="9"/>
      <c r="C138" s="3"/>
      <c r="D138" s="3"/>
    </row>
    <row r="139" spans="1:4" x14ac:dyDescent="0.25">
      <c r="A139" s="9"/>
      <c r="C139" s="3"/>
      <c r="D139" s="3"/>
    </row>
    <row r="140" spans="1:4" x14ac:dyDescent="0.25">
      <c r="A140" s="9"/>
      <c r="C140" s="3"/>
      <c r="D140" s="3"/>
    </row>
    <row r="141" spans="1:4" x14ac:dyDescent="0.25">
      <c r="A141" s="9"/>
      <c r="C141" s="3"/>
      <c r="D141" s="3"/>
    </row>
    <row r="142" spans="1:4" x14ac:dyDescent="0.25">
      <c r="A142" s="9"/>
      <c r="C142" s="3"/>
      <c r="D142" s="7"/>
    </row>
    <row r="143" spans="1:4" x14ac:dyDescent="0.25">
      <c r="A143" s="9"/>
      <c r="C143" s="3"/>
      <c r="D143" s="3"/>
    </row>
    <row r="144" spans="1:4" x14ac:dyDescent="0.25">
      <c r="A144" s="9"/>
      <c r="C144" s="3"/>
      <c r="D144" s="3"/>
    </row>
    <row r="145" spans="1:5" x14ac:dyDescent="0.25">
      <c r="A145" s="9"/>
      <c r="C145" s="3"/>
      <c r="D145" s="3"/>
    </row>
    <row r="146" spans="1:5" x14ac:dyDescent="0.25">
      <c r="A146" s="9"/>
      <c r="C146" s="3"/>
      <c r="D146" s="3"/>
      <c r="E146" s="4"/>
    </row>
    <row r="147" spans="1:5" x14ac:dyDescent="0.25">
      <c r="A147" s="9"/>
      <c r="C147" s="3"/>
      <c r="D147" s="3"/>
    </row>
    <row r="148" spans="1:5" x14ac:dyDescent="0.25">
      <c r="A148" s="9"/>
      <c r="C148" s="3"/>
      <c r="D148" s="3"/>
    </row>
    <row r="149" spans="1:5" x14ac:dyDescent="0.25">
      <c r="A149" s="9"/>
      <c r="C149" s="3"/>
      <c r="D149" s="3"/>
    </row>
    <row r="150" spans="1:5" x14ac:dyDescent="0.25">
      <c r="A150" s="9"/>
      <c r="C150" s="3"/>
      <c r="D150" s="3"/>
    </row>
    <row r="151" spans="1:5" x14ac:dyDescent="0.25">
      <c r="A151" s="9"/>
      <c r="C151" s="3"/>
      <c r="D151" s="3"/>
    </row>
    <row r="152" spans="1:5" x14ac:dyDescent="0.25">
      <c r="A152" s="9"/>
      <c r="C152" s="3"/>
      <c r="D152" s="3"/>
    </row>
    <row r="153" spans="1:5" x14ac:dyDescent="0.25">
      <c r="A153" s="9"/>
      <c r="C153" s="3"/>
      <c r="D153" s="3"/>
    </row>
    <row r="154" spans="1:5" x14ac:dyDescent="0.25">
      <c r="A154" s="9"/>
      <c r="C154" s="3"/>
      <c r="D154" s="3"/>
    </row>
    <row r="155" spans="1:5" x14ac:dyDescent="0.25">
      <c r="A155" s="9"/>
      <c r="C155" s="3"/>
      <c r="D155" s="3"/>
    </row>
    <row r="156" spans="1:5" x14ac:dyDescent="0.25">
      <c r="A156" s="9"/>
      <c r="C156" s="3"/>
      <c r="D156" s="7"/>
    </row>
    <row r="157" spans="1:5" x14ac:dyDescent="0.25">
      <c r="A157" s="9"/>
      <c r="C157" s="3"/>
      <c r="D157" s="3"/>
    </row>
    <row r="158" spans="1:5" x14ac:dyDescent="0.25">
      <c r="A158" s="9"/>
      <c r="C158" s="3"/>
      <c r="D158" s="3"/>
    </row>
    <row r="159" spans="1:5" x14ac:dyDescent="0.25">
      <c r="A159" s="9"/>
      <c r="C159" s="3"/>
      <c r="D159" s="3"/>
    </row>
    <row r="160" spans="1:5" x14ac:dyDescent="0.25">
      <c r="A160" s="9"/>
      <c r="C160" s="3"/>
      <c r="D160" s="7"/>
    </row>
    <row r="161" spans="1:4" x14ac:dyDescent="0.25">
      <c r="A161" s="9"/>
      <c r="C161" s="3"/>
      <c r="D161" s="3"/>
    </row>
    <row r="162" spans="1:4" x14ac:dyDescent="0.25">
      <c r="A162" s="9"/>
      <c r="C162" s="3"/>
      <c r="D162" s="3"/>
    </row>
    <row r="163" spans="1:4" x14ac:dyDescent="0.25">
      <c r="A163" s="9"/>
      <c r="C163" s="3"/>
      <c r="D163" s="3"/>
    </row>
    <row r="164" spans="1:4" x14ac:dyDescent="0.25">
      <c r="A164" s="9"/>
      <c r="C164" s="3"/>
      <c r="D164" s="3"/>
    </row>
    <row r="165" spans="1:4" x14ac:dyDescent="0.25">
      <c r="A165" s="9"/>
      <c r="C165" s="3"/>
      <c r="D165" s="3"/>
    </row>
    <row r="166" spans="1:4" x14ac:dyDescent="0.25">
      <c r="A166" s="9"/>
      <c r="C166" s="3"/>
      <c r="D166" s="3"/>
    </row>
    <row r="167" spans="1:4" x14ac:dyDescent="0.25">
      <c r="A167" s="9"/>
      <c r="C167" s="3"/>
      <c r="D167" s="3"/>
    </row>
    <row r="168" spans="1:4" x14ac:dyDescent="0.25">
      <c r="A168" s="9"/>
      <c r="C168" s="3"/>
      <c r="D168" s="3"/>
    </row>
    <row r="169" spans="1:4" x14ac:dyDescent="0.25">
      <c r="A169" s="9"/>
      <c r="C169" s="3"/>
      <c r="D169" s="3"/>
    </row>
    <row r="170" spans="1:4" x14ac:dyDescent="0.25">
      <c r="A170" s="9"/>
      <c r="C170" s="3"/>
      <c r="D170" s="3"/>
    </row>
    <row r="171" spans="1:4" x14ac:dyDescent="0.25">
      <c r="A171" s="9"/>
      <c r="C171" s="3"/>
      <c r="D171" s="3"/>
    </row>
    <row r="172" spans="1:4" x14ac:dyDescent="0.25">
      <c r="A172" s="9"/>
      <c r="C172" s="3"/>
      <c r="D172" s="3"/>
    </row>
    <row r="173" spans="1:4" x14ac:dyDescent="0.25">
      <c r="A173" s="9"/>
      <c r="C173" s="3"/>
      <c r="D173" s="3"/>
    </row>
    <row r="174" spans="1:4" x14ac:dyDescent="0.25">
      <c r="A174" s="9"/>
      <c r="C174" s="3"/>
      <c r="D174" s="3"/>
    </row>
    <row r="175" spans="1:4" x14ac:dyDescent="0.25">
      <c r="A175" s="9"/>
      <c r="C175" s="3"/>
      <c r="D175" s="3"/>
    </row>
    <row r="176" spans="1:4" x14ac:dyDescent="0.25">
      <c r="A176" s="9"/>
      <c r="C176" s="3"/>
      <c r="D176" s="3"/>
    </row>
    <row r="177" spans="1:4" x14ac:dyDescent="0.25">
      <c r="A177" s="9"/>
      <c r="C177" s="3"/>
      <c r="D177" s="3"/>
    </row>
    <row r="178" spans="1:4" x14ac:dyDescent="0.25">
      <c r="A178" s="9"/>
      <c r="C178" s="3"/>
      <c r="D178" s="3"/>
    </row>
    <row r="179" spans="1:4" x14ac:dyDescent="0.25">
      <c r="A179" s="9"/>
      <c r="C179" s="3"/>
      <c r="D179" s="3"/>
    </row>
    <row r="180" spans="1:4" x14ac:dyDescent="0.25">
      <c r="A180" s="9"/>
      <c r="C180" s="3"/>
      <c r="D180" s="3"/>
    </row>
    <row r="181" spans="1:4" x14ac:dyDescent="0.25">
      <c r="A181" s="9"/>
      <c r="C181" s="3"/>
      <c r="D181" s="3"/>
    </row>
    <row r="182" spans="1:4" x14ac:dyDescent="0.25">
      <c r="A182" s="9"/>
      <c r="C182" s="3"/>
      <c r="D182" s="3"/>
    </row>
    <row r="183" spans="1:4" x14ac:dyDescent="0.25">
      <c r="A183" s="9"/>
      <c r="C183" s="3"/>
      <c r="D183" s="3"/>
    </row>
    <row r="184" spans="1:4" x14ac:dyDescent="0.25">
      <c r="A184" s="9"/>
      <c r="C184" s="3"/>
      <c r="D184" s="3"/>
    </row>
    <row r="185" spans="1:4" x14ac:dyDescent="0.25">
      <c r="A185" s="9"/>
      <c r="C185" s="3"/>
      <c r="D185" s="3"/>
    </row>
    <row r="186" spans="1:4" x14ac:dyDescent="0.25">
      <c r="A186" s="9"/>
      <c r="C186" s="3"/>
      <c r="D186" s="3"/>
    </row>
    <row r="187" spans="1:4" x14ac:dyDescent="0.25">
      <c r="A187" s="9"/>
      <c r="C187" s="3"/>
      <c r="D187" s="3"/>
    </row>
    <row r="188" spans="1:4" x14ac:dyDescent="0.25">
      <c r="A188" s="9"/>
      <c r="C188" s="3"/>
      <c r="D188" s="3"/>
    </row>
    <row r="189" spans="1:4" x14ac:dyDescent="0.25">
      <c r="A189" s="9"/>
      <c r="C189" s="3"/>
      <c r="D189" s="3"/>
    </row>
    <row r="190" spans="1:4" x14ac:dyDescent="0.25">
      <c r="A190" s="9"/>
      <c r="C190" s="3"/>
      <c r="D190" s="3"/>
    </row>
    <row r="191" spans="1:4" x14ac:dyDescent="0.25">
      <c r="A191" s="9"/>
      <c r="C191" s="3"/>
      <c r="D191" s="3"/>
    </row>
    <row r="192" spans="1:4" x14ac:dyDescent="0.25">
      <c r="A192" s="9"/>
      <c r="C192" s="3"/>
      <c r="D192" s="3"/>
    </row>
    <row r="193" spans="1:4" x14ac:dyDescent="0.25">
      <c r="A193" s="9"/>
      <c r="C193" s="3"/>
      <c r="D193" s="3"/>
    </row>
    <row r="194" spans="1:4" x14ac:dyDescent="0.25">
      <c r="A194" s="9"/>
      <c r="C194" s="3"/>
      <c r="D194" s="3"/>
    </row>
    <row r="195" spans="1:4" x14ac:dyDescent="0.25">
      <c r="A195" s="9"/>
      <c r="C195" s="3"/>
      <c r="D195" s="3"/>
    </row>
    <row r="196" spans="1:4" x14ac:dyDescent="0.25">
      <c r="A196" s="9"/>
      <c r="C196" s="3"/>
      <c r="D196" s="3"/>
    </row>
    <row r="197" spans="1:4" x14ac:dyDescent="0.25">
      <c r="A197" s="9"/>
      <c r="C197" s="3"/>
      <c r="D197" s="3"/>
    </row>
    <row r="198" spans="1:4" x14ac:dyDescent="0.25">
      <c r="A198" s="9"/>
      <c r="C198" s="3"/>
      <c r="D198" s="3"/>
    </row>
    <row r="199" spans="1:4" x14ac:dyDescent="0.25">
      <c r="A199" s="9"/>
      <c r="C199" s="3"/>
      <c r="D199" s="3"/>
    </row>
    <row r="200" spans="1:4" x14ac:dyDescent="0.25">
      <c r="A200" s="9"/>
      <c r="C200" s="3"/>
      <c r="D200" s="3"/>
    </row>
    <row r="201" spans="1:4" x14ac:dyDescent="0.25">
      <c r="A201" s="9"/>
      <c r="C201" s="3"/>
      <c r="D201" s="3"/>
    </row>
    <row r="202" spans="1:4" x14ac:dyDescent="0.25">
      <c r="A202" s="9"/>
      <c r="C202" s="3"/>
      <c r="D202" s="3"/>
    </row>
    <row r="203" spans="1:4" x14ac:dyDescent="0.25">
      <c r="A203" s="9"/>
      <c r="C203" s="3"/>
      <c r="D203" s="3"/>
    </row>
    <row r="204" spans="1:4" x14ac:dyDescent="0.25">
      <c r="A204" s="9"/>
      <c r="C204" s="3"/>
      <c r="D204" s="3"/>
    </row>
    <row r="205" spans="1:4" x14ac:dyDescent="0.25">
      <c r="A205" s="9"/>
      <c r="C205" s="3"/>
      <c r="D205" s="3"/>
    </row>
    <row r="206" spans="1:4" x14ac:dyDescent="0.25">
      <c r="A206" s="9"/>
      <c r="C206" s="3"/>
      <c r="D206" s="3"/>
    </row>
    <row r="207" spans="1:4" x14ac:dyDescent="0.25">
      <c r="A207" s="9"/>
      <c r="C207" s="3"/>
      <c r="D207" s="3"/>
    </row>
    <row r="208" spans="1:4" x14ac:dyDescent="0.25">
      <c r="A208" s="9"/>
      <c r="C208" s="3"/>
      <c r="D208" s="3"/>
    </row>
    <row r="209" spans="1:4" x14ac:dyDescent="0.25">
      <c r="A209" s="9"/>
      <c r="C209" s="3"/>
      <c r="D209" s="3"/>
    </row>
    <row r="210" spans="1:4" x14ac:dyDescent="0.25">
      <c r="A210" s="9"/>
      <c r="C210" s="3"/>
      <c r="D210" s="3"/>
    </row>
    <row r="211" spans="1:4" x14ac:dyDescent="0.25">
      <c r="A211" s="9"/>
      <c r="C211" s="3"/>
      <c r="D211" s="3"/>
    </row>
    <row r="212" spans="1:4" x14ac:dyDescent="0.25">
      <c r="A212" s="9"/>
      <c r="C212" s="3"/>
      <c r="D212" s="3"/>
    </row>
    <row r="213" spans="1:4" x14ac:dyDescent="0.25">
      <c r="A213" s="9"/>
      <c r="C213" s="3"/>
      <c r="D213" s="3"/>
    </row>
    <row r="214" spans="1:4" x14ac:dyDescent="0.25">
      <c r="A214" s="9"/>
      <c r="C214" s="3"/>
      <c r="D214" s="3"/>
    </row>
    <row r="215" spans="1:4" x14ac:dyDescent="0.25">
      <c r="A215" s="9"/>
      <c r="C215" s="3"/>
      <c r="D215" s="3"/>
    </row>
    <row r="216" spans="1:4" x14ac:dyDescent="0.25">
      <c r="A216" s="9"/>
      <c r="C216" s="3"/>
      <c r="D216" s="3"/>
    </row>
    <row r="217" spans="1:4" x14ac:dyDescent="0.25">
      <c r="A217" s="9"/>
      <c r="C217" s="3"/>
      <c r="D217" s="3"/>
    </row>
    <row r="218" spans="1:4" x14ac:dyDescent="0.25">
      <c r="A218" s="9"/>
      <c r="C218" s="3"/>
      <c r="D218" s="3"/>
    </row>
    <row r="219" spans="1:4" x14ac:dyDescent="0.25">
      <c r="A219" s="9"/>
      <c r="C219" s="3"/>
      <c r="D219" s="3"/>
    </row>
    <row r="220" spans="1:4" x14ac:dyDescent="0.25">
      <c r="A220" s="9"/>
      <c r="C220" s="3"/>
      <c r="D220" s="3"/>
    </row>
    <row r="221" spans="1:4" x14ac:dyDescent="0.25">
      <c r="A221" s="9"/>
      <c r="C221" s="3"/>
      <c r="D221" s="3"/>
    </row>
    <row r="222" spans="1:4" x14ac:dyDescent="0.25">
      <c r="A222" s="9"/>
      <c r="C222" s="3"/>
      <c r="D222" s="3"/>
    </row>
    <row r="223" spans="1:4" x14ac:dyDescent="0.25">
      <c r="A223" s="9"/>
      <c r="C223" s="3"/>
      <c r="D223" s="3"/>
    </row>
    <row r="224" spans="1:4" x14ac:dyDescent="0.25">
      <c r="A224" s="9"/>
      <c r="C224" s="3"/>
      <c r="D224" s="3"/>
    </row>
    <row r="225" spans="1:4" x14ac:dyDescent="0.25">
      <c r="A225" s="9"/>
      <c r="C225" s="3"/>
      <c r="D225" s="3"/>
    </row>
    <row r="226" spans="1:4" x14ac:dyDescent="0.25">
      <c r="A226" s="9"/>
      <c r="C226" s="3"/>
      <c r="D226" s="3"/>
    </row>
    <row r="227" spans="1:4" x14ac:dyDescent="0.25">
      <c r="A227" s="9"/>
      <c r="C227" s="3"/>
      <c r="D227" s="3"/>
    </row>
    <row r="228" spans="1:4" x14ac:dyDescent="0.25">
      <c r="A228" s="9"/>
      <c r="C228" s="3"/>
      <c r="D228" s="3"/>
    </row>
    <row r="229" spans="1:4" x14ac:dyDescent="0.25">
      <c r="A229" s="9"/>
      <c r="C229" s="3"/>
      <c r="D229" s="3"/>
    </row>
    <row r="230" spans="1:4" x14ac:dyDescent="0.25">
      <c r="A230" s="9"/>
      <c r="C230" s="3"/>
      <c r="D230" s="3"/>
    </row>
    <row r="231" spans="1:4" x14ac:dyDescent="0.25">
      <c r="A231" s="9"/>
      <c r="C231" s="3"/>
      <c r="D231" s="3"/>
    </row>
    <row r="232" spans="1:4" x14ac:dyDescent="0.25">
      <c r="A232" s="9"/>
      <c r="C232" s="3"/>
      <c r="D232" s="3"/>
    </row>
    <row r="233" spans="1:4" x14ac:dyDescent="0.25">
      <c r="A233" s="9"/>
      <c r="C233" s="3"/>
      <c r="D233" s="3"/>
    </row>
    <row r="234" spans="1:4" x14ac:dyDescent="0.25">
      <c r="A234" s="9"/>
      <c r="C234" s="3"/>
      <c r="D234" s="3"/>
    </row>
    <row r="235" spans="1:4" x14ac:dyDescent="0.25">
      <c r="A235" s="9"/>
      <c r="C235" s="3"/>
      <c r="D235" s="3"/>
    </row>
    <row r="236" spans="1:4" x14ac:dyDescent="0.25">
      <c r="A236" s="9"/>
      <c r="C236" s="3"/>
      <c r="D236" s="3"/>
    </row>
    <row r="237" spans="1:4" x14ac:dyDescent="0.25">
      <c r="A237" s="9"/>
      <c r="C237" s="3"/>
      <c r="D237" s="3"/>
    </row>
    <row r="238" spans="1:4" x14ac:dyDescent="0.25">
      <c r="A238" s="9"/>
      <c r="C238" s="3"/>
      <c r="D238" s="3"/>
    </row>
    <row r="239" spans="1:4" x14ac:dyDescent="0.25">
      <c r="A239" s="9"/>
      <c r="C239" s="3"/>
      <c r="D239" s="3"/>
    </row>
    <row r="240" spans="1:4" x14ac:dyDescent="0.25">
      <c r="A240" s="9"/>
      <c r="C240" s="3"/>
      <c r="D240" s="3"/>
    </row>
    <row r="241" spans="1:4" x14ac:dyDescent="0.25">
      <c r="A241" s="9"/>
      <c r="C241" s="3"/>
      <c r="D241" s="3"/>
    </row>
    <row r="242" spans="1:4" x14ac:dyDescent="0.25">
      <c r="A242" s="9"/>
      <c r="C242" s="3"/>
      <c r="D242" s="3"/>
    </row>
    <row r="243" spans="1:4" x14ac:dyDescent="0.25">
      <c r="A243" s="9"/>
      <c r="C243" s="3"/>
      <c r="D243" s="3"/>
    </row>
    <row r="244" spans="1:4" x14ac:dyDescent="0.25">
      <c r="A244" s="9"/>
      <c r="C244" s="3"/>
      <c r="D244" s="3"/>
    </row>
    <row r="245" spans="1:4" x14ac:dyDescent="0.25">
      <c r="A245" s="9"/>
      <c r="C245" s="3"/>
      <c r="D245" s="3"/>
    </row>
    <row r="246" spans="1:4" x14ac:dyDescent="0.25">
      <c r="A246" s="9"/>
      <c r="C246" s="3"/>
      <c r="D246" s="3"/>
    </row>
    <row r="247" spans="1:4" x14ac:dyDescent="0.25">
      <c r="A247" s="9"/>
      <c r="C247" s="3"/>
      <c r="D247" s="3"/>
    </row>
    <row r="248" spans="1:4" x14ac:dyDescent="0.25">
      <c r="A248" s="9"/>
      <c r="C248" s="3"/>
      <c r="D248" s="3"/>
    </row>
    <row r="249" spans="1:4" x14ac:dyDescent="0.25">
      <c r="A249" s="9"/>
      <c r="C249" s="3"/>
      <c r="D249" s="3"/>
    </row>
    <row r="250" spans="1:4" x14ac:dyDescent="0.25">
      <c r="A250" s="9"/>
      <c r="C250" s="3"/>
      <c r="D250" s="3"/>
    </row>
    <row r="251" spans="1:4" x14ac:dyDescent="0.25">
      <c r="A251" s="9"/>
      <c r="C251" s="3"/>
      <c r="D251" s="3"/>
    </row>
    <row r="252" spans="1:4" x14ac:dyDescent="0.25">
      <c r="A252" s="9"/>
      <c r="C252" s="3"/>
      <c r="D252" s="3"/>
    </row>
    <row r="253" spans="1:4" x14ac:dyDescent="0.25">
      <c r="A253" s="9"/>
      <c r="C253" s="3"/>
      <c r="D253" s="3"/>
    </row>
    <row r="254" spans="1:4" x14ac:dyDescent="0.25">
      <c r="A254" s="9"/>
      <c r="C254" s="3"/>
      <c r="D254" s="3"/>
    </row>
    <row r="255" spans="1:4" x14ac:dyDescent="0.25">
      <c r="A255" s="9"/>
      <c r="C255" s="3"/>
      <c r="D255" s="3"/>
    </row>
    <row r="256" spans="1:4" x14ac:dyDescent="0.25">
      <c r="A256" s="9"/>
      <c r="C256" s="3"/>
      <c r="D256" s="3"/>
    </row>
    <row r="257" spans="1:5" x14ac:dyDescent="0.25">
      <c r="A257" s="9"/>
      <c r="C257" s="3"/>
      <c r="D257" s="3"/>
    </row>
    <row r="258" spans="1:5" x14ac:dyDescent="0.25">
      <c r="A258" s="9"/>
      <c r="C258" s="3"/>
      <c r="D258" s="3"/>
      <c r="E258" s="4"/>
    </row>
    <row r="259" spans="1:5" x14ac:dyDescent="0.25">
      <c r="A259" s="9"/>
      <c r="C259" s="3"/>
      <c r="D259" s="3"/>
    </row>
    <row r="260" spans="1:5" x14ac:dyDescent="0.25">
      <c r="A260" s="9"/>
      <c r="C260" s="3"/>
      <c r="D260" s="3"/>
    </row>
    <row r="261" spans="1:5" x14ac:dyDescent="0.25">
      <c r="A261" s="9"/>
      <c r="C261" s="3"/>
      <c r="D261" s="3"/>
    </row>
    <row r="262" spans="1:5" x14ac:dyDescent="0.25">
      <c r="A262" s="9"/>
      <c r="C262" s="3"/>
      <c r="D262" s="3"/>
    </row>
    <row r="263" spans="1:5" x14ac:dyDescent="0.25">
      <c r="A263" s="9"/>
      <c r="C263" s="3"/>
      <c r="D263" s="3"/>
    </row>
    <row r="264" spans="1:5" x14ac:dyDescent="0.25">
      <c r="A264" s="9"/>
      <c r="C264" s="3"/>
      <c r="D264" s="3"/>
    </row>
    <row r="265" spans="1:5" x14ac:dyDescent="0.25">
      <c r="A265" s="9"/>
      <c r="C265" s="3"/>
      <c r="D265" s="3"/>
    </row>
    <row r="266" spans="1:5" x14ac:dyDescent="0.25">
      <c r="A266" s="9"/>
      <c r="C266" s="3"/>
      <c r="D266" s="3"/>
    </row>
    <row r="267" spans="1:5" x14ac:dyDescent="0.25">
      <c r="A267" s="9"/>
      <c r="C267" s="3"/>
      <c r="D267" s="3"/>
    </row>
    <row r="268" spans="1:5" x14ac:dyDescent="0.25">
      <c r="A268" s="9"/>
      <c r="C268" s="3"/>
      <c r="D268" s="3"/>
    </row>
    <row r="269" spans="1:5" x14ac:dyDescent="0.25">
      <c r="A269" s="9"/>
      <c r="C269" s="3"/>
      <c r="D269" s="3"/>
    </row>
    <row r="270" spans="1:5" x14ac:dyDescent="0.25">
      <c r="A270" s="9"/>
      <c r="C270" s="3"/>
      <c r="D270" s="3"/>
    </row>
    <row r="271" spans="1:5" x14ac:dyDescent="0.25">
      <c r="A271" s="9"/>
      <c r="C271" s="3"/>
      <c r="D271" s="3"/>
    </row>
    <row r="272" spans="1:5" x14ac:dyDescent="0.25">
      <c r="A272" s="9"/>
      <c r="C272" s="3"/>
      <c r="D272" s="3"/>
      <c r="E272" s="4"/>
    </row>
    <row r="273" spans="1:5" x14ac:dyDescent="0.25">
      <c r="A273" s="9"/>
      <c r="C273" s="3"/>
      <c r="D273" s="3"/>
    </row>
    <row r="274" spans="1:5" x14ac:dyDescent="0.25">
      <c r="A274" s="9"/>
      <c r="C274" s="3"/>
      <c r="D274" s="3"/>
    </row>
    <row r="275" spans="1:5" x14ac:dyDescent="0.25">
      <c r="A275" s="9"/>
      <c r="C275" s="3"/>
      <c r="D275" s="3"/>
    </row>
    <row r="276" spans="1:5" x14ac:dyDescent="0.25">
      <c r="A276" s="9"/>
      <c r="C276" s="3"/>
      <c r="D276" s="3"/>
    </row>
    <row r="277" spans="1:5" x14ac:dyDescent="0.25">
      <c r="A277" s="9"/>
      <c r="C277" s="3"/>
      <c r="D277" s="3"/>
    </row>
    <row r="278" spans="1:5" x14ac:dyDescent="0.25">
      <c r="A278" s="9"/>
      <c r="C278" s="3"/>
      <c r="D278" s="3"/>
    </row>
    <row r="279" spans="1:5" x14ac:dyDescent="0.25">
      <c r="A279" s="9"/>
      <c r="C279" s="3"/>
      <c r="D279" s="3"/>
    </row>
    <row r="280" spans="1:5" x14ac:dyDescent="0.25">
      <c r="A280" s="9"/>
      <c r="C280" s="3"/>
      <c r="D280" s="3"/>
    </row>
    <row r="281" spans="1:5" x14ac:dyDescent="0.25">
      <c r="A281" s="9"/>
      <c r="C281" s="3"/>
      <c r="D281" s="3"/>
    </row>
    <row r="282" spans="1:5" x14ac:dyDescent="0.25">
      <c r="A282" s="9"/>
      <c r="C282" s="3"/>
      <c r="D282" s="3"/>
    </row>
    <row r="283" spans="1:5" x14ac:dyDescent="0.25">
      <c r="A283" s="9"/>
      <c r="C283" s="3"/>
      <c r="D283" s="3"/>
    </row>
    <row r="284" spans="1:5" x14ac:dyDescent="0.25">
      <c r="A284" s="9"/>
      <c r="C284" s="3"/>
      <c r="D284" s="3"/>
      <c r="E284" s="4"/>
    </row>
    <row r="285" spans="1:5" x14ac:dyDescent="0.25">
      <c r="A285" s="9"/>
      <c r="C285" s="3"/>
      <c r="D285" s="3"/>
      <c r="E285" s="4"/>
    </row>
    <row r="286" spans="1:5" x14ac:dyDescent="0.25">
      <c r="A286" s="9"/>
      <c r="C286" s="3"/>
      <c r="D286" s="3"/>
    </row>
    <row r="287" spans="1:5" x14ac:dyDescent="0.25">
      <c r="A287" s="9"/>
      <c r="C287" s="3"/>
      <c r="D287" s="3"/>
    </row>
    <row r="288" spans="1:5" x14ac:dyDescent="0.25">
      <c r="A288" s="9"/>
      <c r="C288" s="3"/>
      <c r="D288" s="3"/>
    </row>
    <row r="289" spans="1:4" x14ac:dyDescent="0.25">
      <c r="A289" s="9"/>
      <c r="C289" s="3"/>
      <c r="D289" s="3"/>
    </row>
    <row r="290" spans="1:4" x14ac:dyDescent="0.25">
      <c r="A290" s="9"/>
      <c r="C290" s="3"/>
      <c r="D290" s="7"/>
    </row>
    <row r="291" spans="1:4" x14ac:dyDescent="0.25">
      <c r="A291" s="9"/>
      <c r="C291" s="3"/>
      <c r="D291" s="3"/>
    </row>
    <row r="292" spans="1:4" x14ac:dyDescent="0.25">
      <c r="A292" s="9"/>
      <c r="C292" s="3"/>
      <c r="D292" s="3"/>
    </row>
    <row r="293" spans="1:4" x14ac:dyDescent="0.25">
      <c r="A293" s="9"/>
      <c r="C293" s="3"/>
      <c r="D293" s="3"/>
    </row>
    <row r="294" spans="1:4" x14ac:dyDescent="0.25">
      <c r="A294" s="9"/>
      <c r="C294" s="3"/>
      <c r="D294" s="3"/>
    </row>
    <row r="295" spans="1:4" x14ac:dyDescent="0.25">
      <c r="A295" s="9"/>
      <c r="C295" s="3"/>
      <c r="D295" s="3"/>
    </row>
    <row r="296" spans="1:4" x14ac:dyDescent="0.25">
      <c r="A296" s="9"/>
      <c r="C296" s="3"/>
      <c r="D296" s="3"/>
    </row>
    <row r="297" spans="1:4" x14ac:dyDescent="0.25">
      <c r="A297" s="9"/>
      <c r="C297" s="3"/>
      <c r="D297" s="3"/>
    </row>
    <row r="298" spans="1:4" x14ac:dyDescent="0.25">
      <c r="A298" s="9"/>
      <c r="C298" s="3"/>
      <c r="D298" s="3"/>
    </row>
    <row r="299" spans="1:4" x14ac:dyDescent="0.25">
      <c r="A299" s="9"/>
      <c r="C299" s="3"/>
      <c r="D299" s="3"/>
    </row>
    <row r="300" spans="1:4" x14ac:dyDescent="0.25">
      <c r="A300" s="9"/>
      <c r="C300" s="3"/>
      <c r="D300" s="3"/>
    </row>
    <row r="301" spans="1:4" x14ac:dyDescent="0.25">
      <c r="A301" s="9"/>
      <c r="C301" s="3"/>
      <c r="D301" s="3"/>
    </row>
    <row r="302" spans="1:4" x14ac:dyDescent="0.25">
      <c r="A302" s="9"/>
      <c r="C302" s="3"/>
      <c r="D302" s="3"/>
    </row>
    <row r="303" spans="1:4" x14ac:dyDescent="0.25">
      <c r="A303" s="9"/>
      <c r="C303" s="3"/>
      <c r="D303" s="3"/>
    </row>
    <row r="304" spans="1:4" x14ac:dyDescent="0.25">
      <c r="A304" s="9"/>
      <c r="C304" s="3"/>
      <c r="D304" s="3"/>
    </row>
    <row r="305" spans="1:4" x14ac:dyDescent="0.25">
      <c r="A305" s="9"/>
      <c r="C305" s="3"/>
      <c r="D305" s="3"/>
    </row>
    <row r="306" spans="1:4" x14ac:dyDescent="0.25">
      <c r="A306" s="9"/>
      <c r="C306" s="3"/>
      <c r="D306" s="3"/>
    </row>
    <row r="307" spans="1:4" x14ac:dyDescent="0.25">
      <c r="A307" s="9"/>
      <c r="C307" s="3"/>
      <c r="D307" s="3"/>
    </row>
    <row r="308" spans="1:4" x14ac:dyDescent="0.25">
      <c r="A308" s="9"/>
      <c r="C308" s="3"/>
      <c r="D308" s="3"/>
    </row>
    <row r="309" spans="1:4" x14ac:dyDescent="0.25">
      <c r="A309" s="9"/>
      <c r="C309" s="3"/>
      <c r="D309" s="3"/>
    </row>
    <row r="310" spans="1:4" x14ac:dyDescent="0.25">
      <c r="A310" s="9"/>
      <c r="C310" s="3"/>
      <c r="D310" s="3"/>
    </row>
    <row r="311" spans="1:4" x14ac:dyDescent="0.25">
      <c r="A311" s="9"/>
      <c r="C311" s="3"/>
      <c r="D311" s="3"/>
    </row>
    <row r="312" spans="1:4" x14ac:dyDescent="0.25">
      <c r="A312" s="9"/>
      <c r="C312" s="3"/>
      <c r="D312" s="3"/>
    </row>
    <row r="313" spans="1:4" x14ac:dyDescent="0.25">
      <c r="A313" s="9"/>
      <c r="C313" s="3"/>
      <c r="D313" s="3"/>
    </row>
    <row r="314" spans="1:4" x14ac:dyDescent="0.25">
      <c r="A314" s="9"/>
      <c r="C314" s="3"/>
      <c r="D314" s="3"/>
    </row>
    <row r="315" spans="1:4" x14ac:dyDescent="0.25">
      <c r="A315" s="9"/>
      <c r="C315" s="3"/>
      <c r="D315" s="3"/>
    </row>
    <row r="316" spans="1:4" x14ac:dyDescent="0.25">
      <c r="A316" s="9"/>
      <c r="C316" s="3"/>
      <c r="D316" s="3"/>
    </row>
    <row r="317" spans="1:4" x14ac:dyDescent="0.25">
      <c r="A317" s="9"/>
      <c r="C317" s="3"/>
      <c r="D317" s="3"/>
    </row>
    <row r="318" spans="1:4" x14ac:dyDescent="0.25">
      <c r="A318" s="9"/>
      <c r="C318" s="3"/>
      <c r="D318" s="3"/>
    </row>
    <row r="319" spans="1:4" x14ac:dyDescent="0.25">
      <c r="A319" s="9"/>
      <c r="C319" s="3"/>
      <c r="D319" s="3"/>
    </row>
    <row r="320" spans="1:4" x14ac:dyDescent="0.25">
      <c r="A320" s="9"/>
      <c r="C320" s="3"/>
      <c r="D320" s="3"/>
    </row>
    <row r="321" spans="1:4" x14ac:dyDescent="0.25">
      <c r="A321" s="9"/>
      <c r="C321" s="3"/>
      <c r="D321" s="3"/>
    </row>
    <row r="322" spans="1:4" x14ac:dyDescent="0.25">
      <c r="A322" s="9"/>
      <c r="C322" s="3"/>
      <c r="D322" s="3"/>
    </row>
    <row r="323" spans="1:4" x14ac:dyDescent="0.25">
      <c r="A323" s="9"/>
      <c r="C323" s="3"/>
      <c r="D323" s="3"/>
    </row>
    <row r="324" spans="1:4" x14ac:dyDescent="0.25">
      <c r="A324" s="9"/>
      <c r="C324" s="3"/>
      <c r="D324" s="3"/>
    </row>
    <row r="325" spans="1:4" x14ac:dyDescent="0.25">
      <c r="A325" s="9"/>
      <c r="C325" s="3"/>
      <c r="D325" s="3"/>
    </row>
    <row r="326" spans="1:4" x14ac:dyDescent="0.25">
      <c r="A326" s="9"/>
      <c r="C326" s="3"/>
      <c r="D326" s="3"/>
    </row>
    <row r="327" spans="1:4" x14ac:dyDescent="0.25">
      <c r="A327" s="9"/>
      <c r="C327" s="3"/>
      <c r="D327" s="3"/>
    </row>
    <row r="328" spans="1:4" x14ac:dyDescent="0.25">
      <c r="A328" s="9"/>
      <c r="C328" s="3"/>
      <c r="D328" s="3"/>
    </row>
    <row r="329" spans="1:4" x14ac:dyDescent="0.25">
      <c r="A329" s="9"/>
      <c r="C329" s="3"/>
      <c r="D329" s="3"/>
    </row>
    <row r="330" spans="1:4" x14ac:dyDescent="0.25">
      <c r="A330" s="9"/>
      <c r="C330" s="3"/>
      <c r="D330" s="3"/>
    </row>
    <row r="331" spans="1:4" x14ac:dyDescent="0.25">
      <c r="A331" s="9"/>
      <c r="C331" s="3"/>
      <c r="D331" s="3"/>
    </row>
    <row r="332" spans="1:4" x14ac:dyDescent="0.25">
      <c r="A332" s="9"/>
      <c r="C332" s="3"/>
      <c r="D332" s="3"/>
    </row>
    <row r="333" spans="1:4" x14ac:dyDescent="0.25">
      <c r="A333" s="9"/>
      <c r="C333" s="3"/>
      <c r="D333" s="3"/>
    </row>
    <row r="334" spans="1:4" x14ac:dyDescent="0.25">
      <c r="A334" s="9"/>
      <c r="C334" s="3"/>
      <c r="D334" s="3"/>
    </row>
    <row r="335" spans="1:4" x14ac:dyDescent="0.25">
      <c r="A335" s="9"/>
      <c r="C335" s="3"/>
      <c r="D335" s="3"/>
    </row>
    <row r="336" spans="1:4" x14ac:dyDescent="0.25">
      <c r="A336" s="9"/>
      <c r="C336" s="3"/>
      <c r="D336" s="3"/>
    </row>
    <row r="337" spans="1:4" x14ac:dyDescent="0.25">
      <c r="A337" s="9"/>
      <c r="C337" s="3"/>
      <c r="D337" s="3"/>
    </row>
    <row r="338" spans="1:4" x14ac:dyDescent="0.25">
      <c r="A338" s="9"/>
      <c r="C338" s="3"/>
      <c r="D338" s="3"/>
    </row>
    <row r="339" spans="1:4" x14ac:dyDescent="0.25">
      <c r="A339" s="9"/>
      <c r="C339" s="3"/>
      <c r="D339" s="3"/>
    </row>
    <row r="340" spans="1:4" x14ac:dyDescent="0.25">
      <c r="A340" s="9"/>
      <c r="C340" s="3"/>
      <c r="D340" s="3"/>
    </row>
    <row r="341" spans="1:4" x14ac:dyDescent="0.25">
      <c r="A341" s="9"/>
      <c r="C341" s="3"/>
      <c r="D341" s="3"/>
    </row>
    <row r="342" spans="1:4" x14ac:dyDescent="0.25">
      <c r="A342" s="9"/>
      <c r="C342" s="3"/>
      <c r="D342" s="3"/>
    </row>
    <row r="343" spans="1:4" x14ac:dyDescent="0.25">
      <c r="A343" s="9"/>
      <c r="C343" s="3"/>
      <c r="D343" s="3"/>
    </row>
    <row r="344" spans="1:4" x14ac:dyDescent="0.25">
      <c r="A344" s="9"/>
      <c r="C344" s="3"/>
      <c r="D344" s="3"/>
    </row>
    <row r="345" spans="1:4" x14ac:dyDescent="0.25">
      <c r="A345" s="9"/>
      <c r="C345" s="3"/>
      <c r="D345" s="3"/>
    </row>
    <row r="346" spans="1:4" x14ac:dyDescent="0.25">
      <c r="A346" s="9"/>
      <c r="C346" s="3"/>
      <c r="D346" s="3"/>
    </row>
    <row r="347" spans="1:4" x14ac:dyDescent="0.25">
      <c r="A347" s="9"/>
      <c r="C347" s="3"/>
      <c r="D347" s="3"/>
    </row>
    <row r="348" spans="1:4" x14ac:dyDescent="0.25">
      <c r="A348" s="9"/>
      <c r="C348" s="3"/>
      <c r="D348" s="3"/>
    </row>
    <row r="349" spans="1:4" x14ac:dyDescent="0.25">
      <c r="A349" s="9"/>
      <c r="C349" s="3"/>
      <c r="D349" s="3"/>
    </row>
    <row r="350" spans="1:4" x14ac:dyDescent="0.25">
      <c r="A350" s="9"/>
      <c r="C350" s="3"/>
      <c r="D350" s="3"/>
    </row>
    <row r="351" spans="1:4" x14ac:dyDescent="0.25">
      <c r="A351" s="9"/>
      <c r="C351" s="3"/>
      <c r="D351" s="3"/>
    </row>
    <row r="352" spans="1:4" x14ac:dyDescent="0.25">
      <c r="A352" s="9"/>
      <c r="C352" s="3"/>
      <c r="D352" s="3"/>
    </row>
    <row r="353" spans="1:5" x14ac:dyDescent="0.25">
      <c r="A353" s="9"/>
      <c r="C353" s="3"/>
      <c r="D353" s="3"/>
      <c r="E353" s="7"/>
    </row>
    <row r="354" spans="1:5" x14ac:dyDescent="0.25">
      <c r="A354" s="9"/>
      <c r="C354" s="3"/>
      <c r="D354" s="3"/>
    </row>
    <row r="355" spans="1:5" x14ac:dyDescent="0.25">
      <c r="A355" s="9"/>
      <c r="C355" s="3"/>
      <c r="D355" s="3"/>
    </row>
    <row r="356" spans="1:5" x14ac:dyDescent="0.25">
      <c r="A356" s="9"/>
      <c r="C356" s="3"/>
      <c r="D356" s="3"/>
    </row>
    <row r="357" spans="1:5" x14ac:dyDescent="0.25">
      <c r="A357" s="9"/>
      <c r="C357" s="3"/>
      <c r="D357" s="3"/>
    </row>
    <row r="358" spans="1:5" x14ac:dyDescent="0.25">
      <c r="A358" s="9"/>
      <c r="C358" s="3"/>
      <c r="D358" s="3"/>
    </row>
    <row r="359" spans="1:5" x14ac:dyDescent="0.25">
      <c r="A359" s="9"/>
      <c r="C359" s="3"/>
      <c r="D359" s="3"/>
      <c r="E359" s="7"/>
    </row>
    <row r="360" spans="1:5" x14ac:dyDescent="0.25">
      <c r="A360" s="9"/>
      <c r="C360" s="3"/>
      <c r="D360" s="3"/>
    </row>
    <row r="361" spans="1:5" x14ac:dyDescent="0.25">
      <c r="A361" s="9"/>
      <c r="C361" s="3"/>
      <c r="D361" s="3"/>
    </row>
    <row r="362" spans="1:5" x14ac:dyDescent="0.25">
      <c r="A362" s="9"/>
      <c r="C362" s="3"/>
      <c r="D362" s="3"/>
    </row>
    <row r="363" spans="1:5" x14ac:dyDescent="0.25">
      <c r="A363" s="9"/>
      <c r="C363" s="3"/>
      <c r="D363" s="3"/>
    </row>
    <row r="364" spans="1:5" x14ac:dyDescent="0.25">
      <c r="A364" s="9"/>
      <c r="C364" s="3"/>
      <c r="D364" s="3"/>
    </row>
    <row r="365" spans="1:5" x14ac:dyDescent="0.25">
      <c r="A365" s="9"/>
      <c r="C365" s="3"/>
      <c r="D365" s="3"/>
    </row>
    <row r="366" spans="1:5" x14ac:dyDescent="0.25">
      <c r="A366" s="9"/>
      <c r="C366" s="3"/>
      <c r="D366" s="3"/>
    </row>
    <row r="367" spans="1:5" x14ac:dyDescent="0.25">
      <c r="A367" s="9"/>
      <c r="C367" s="3"/>
      <c r="D367" s="3"/>
    </row>
  </sheetData>
  <mergeCells count="1">
    <mergeCell ref="F2:G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Calculation</vt:lpstr>
      <vt:lpstr>Net Performance</vt:lpstr>
      <vt:lpstr>AnnualisedReturn</vt:lpstr>
      <vt:lpstr>DateStart</vt:lpstr>
      <vt:lpstr>InflowOutflow</vt:lpstr>
      <vt:lpstr>NetProfit</vt:lpstr>
      <vt:lpstr>RecommendedPayment</vt:lpstr>
      <vt:lpstr>ReturnDrawdown</vt:lpstr>
      <vt:lpstr>SinceInception</vt:lpstr>
      <vt:lpstr>TotalValue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Bryn</dc:creator>
  <cp:lastModifiedBy>Andrew O'Brien</cp:lastModifiedBy>
  <dcterms:created xsi:type="dcterms:W3CDTF">2012-11-25T03:03:04Z</dcterms:created>
  <dcterms:modified xsi:type="dcterms:W3CDTF">2015-08-22T02:06:21Z</dcterms:modified>
</cp:coreProperties>
</file>